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filterPrivacy="1" defaultThemeVersion="124226"/>
  <xr:revisionPtr revIDLastSave="0" documentId="13_ncr:1_{A9D3CBC7-08B5-9B44-A8E1-56BCBB40FB63}" xr6:coauthVersionLast="47" xr6:coauthVersionMax="47" xr10:uidLastSave="{00000000-0000-0000-0000-000000000000}"/>
  <bookViews>
    <workbookView xWindow="40" yWindow="800" windowWidth="10000" windowHeight="6100" activeTab="5" xr2:uid="{00000000-000D-0000-FFFF-FFFF00000000}"/>
  </bookViews>
  <sheets>
    <sheet name="CIEandPI" sheetId="12" r:id="rId1"/>
    <sheet name="CIEPIData" sheetId="11" r:id="rId2"/>
    <sheet name="MRData2" sheetId="10" r:id="rId3"/>
    <sheet name="COMPUTE2" sheetId="9" r:id="rId4"/>
    <sheet name="MRData" sheetId="3" r:id="rId5"/>
    <sheet name="COMPUTE" sheetId="2" r:id="rId6"/>
    <sheet name="Residuals" sheetId="4" r:id="rId7"/>
    <sheet name="DATA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2" l="1" a="1"/>
  <c r="B21" i="12" s="1"/>
  <c r="B20" i="12"/>
  <c r="B9" i="12" a="1"/>
  <c r="B9" i="12" s="1"/>
  <c r="B8" i="9"/>
  <c r="L2" i="9" a="1"/>
  <c r="L2" i="9" s="1"/>
  <c r="B19" i="9" s="1"/>
  <c r="A19" i="9"/>
  <c r="A18" i="9"/>
  <c r="B14" i="9" s="1"/>
  <c r="G16" i="9"/>
  <c r="I16" i="9" s="1"/>
  <c r="F16" i="9"/>
  <c r="H16" i="9" s="1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B8" i="2"/>
  <c r="L2" i="2" a="1"/>
  <c r="L2" i="2" s="1"/>
  <c r="B19" i="2" s="1"/>
  <c r="A19" i="2"/>
  <c r="A18" i="2"/>
  <c r="B14" i="2" s="1"/>
  <c r="G16" i="2"/>
  <c r="I16" i="2" s="1"/>
  <c r="F16" i="2"/>
  <c r="H16" i="2" s="1"/>
  <c r="B11" i="12" l="1"/>
  <c r="C10" i="12"/>
  <c r="C9" i="12"/>
  <c r="B13" i="12" s="1" a="1"/>
  <c r="C11" i="12"/>
  <c r="D10" i="12"/>
  <c r="B10" i="12"/>
  <c r="D9" i="12"/>
  <c r="D11" i="12"/>
  <c r="M6" i="9"/>
  <c r="C13" i="9" s="1"/>
  <c r="L6" i="9"/>
  <c r="C12" i="9" s="1"/>
  <c r="C14" i="9" s="1"/>
  <c r="N5" i="9"/>
  <c r="M5" i="9"/>
  <c r="B13" i="9" s="1"/>
  <c r="D13" i="9" s="1"/>
  <c r="L5" i="9"/>
  <c r="E12" i="9" s="1"/>
  <c r="M4" i="9"/>
  <c r="B7" i="9" s="1"/>
  <c r="N6" i="9"/>
  <c r="L4" i="9"/>
  <c r="B5" i="9" s="1"/>
  <c r="N3" i="9"/>
  <c r="C17" i="9" s="1"/>
  <c r="M3" i="9"/>
  <c r="C18" i="9" s="1"/>
  <c r="L3" i="9"/>
  <c r="C19" i="9" s="1"/>
  <c r="D19" i="9" s="1"/>
  <c r="E19" i="9" s="1"/>
  <c r="N2" i="9"/>
  <c r="B17" i="9" s="1"/>
  <c r="D17" i="9" s="1"/>
  <c r="E17" i="9" s="1"/>
  <c r="M2" i="9"/>
  <c r="B18" i="9" s="1"/>
  <c r="N4" i="9"/>
  <c r="N5" i="2"/>
  <c r="M4" i="2"/>
  <c r="B7" i="2" s="1"/>
  <c r="N6" i="2"/>
  <c r="L4" i="2"/>
  <c r="B5" i="2" s="1"/>
  <c r="N3" i="2"/>
  <c r="C17" i="2" s="1"/>
  <c r="L6" i="2"/>
  <c r="C12" i="2" s="1"/>
  <c r="M3" i="2"/>
  <c r="C18" i="2" s="1"/>
  <c r="L3" i="2"/>
  <c r="C19" i="2" s="1"/>
  <c r="D19" i="2" s="1"/>
  <c r="E19" i="2" s="1"/>
  <c r="N2" i="2"/>
  <c r="B17" i="2" s="1"/>
  <c r="M6" i="2"/>
  <c r="C13" i="2" s="1"/>
  <c r="L5" i="2"/>
  <c r="E12" i="2" s="1"/>
  <c r="M2" i="2"/>
  <c r="B18" i="2" s="1"/>
  <c r="M5" i="2"/>
  <c r="B13" i="2" s="1"/>
  <c r="L9" i="2" s="1"/>
  <c r="L12" i="2" s="1"/>
  <c r="N4" i="2"/>
  <c r="B13" i="12" l="1"/>
  <c r="C14" i="12"/>
  <c r="D14" i="12"/>
  <c r="B15" i="12"/>
  <c r="C15" i="12"/>
  <c r="B14" i="12"/>
  <c r="D13" i="12"/>
  <c r="D15" i="12"/>
  <c r="C13" i="12"/>
  <c r="D18" i="9"/>
  <c r="E18" i="9" s="1"/>
  <c r="B12" i="9"/>
  <c r="D12" i="9" s="1"/>
  <c r="B4" i="9"/>
  <c r="L9" i="9"/>
  <c r="L12" i="9" s="1"/>
  <c r="B6" i="9"/>
  <c r="G19" i="2"/>
  <c r="I19" i="2" s="1"/>
  <c r="F19" i="2"/>
  <c r="H19" i="2" s="1"/>
  <c r="D18" i="2"/>
  <c r="E18" i="2" s="1"/>
  <c r="D13" i="2"/>
  <c r="L10" i="2"/>
  <c r="G17" i="2" s="1"/>
  <c r="I17" i="2" s="1"/>
  <c r="L11" i="2"/>
  <c r="F18" i="2" s="1"/>
  <c r="H18" i="2" s="1"/>
  <c r="D17" i="2"/>
  <c r="E17" i="2" s="1"/>
  <c r="B12" i="2"/>
  <c r="D12" i="2" s="1"/>
  <c r="C14" i="2"/>
  <c r="B4" i="2" s="1"/>
  <c r="F17" i="2"/>
  <c r="H17" i="2" s="1"/>
  <c r="B17" i="12" l="1" a="1"/>
  <c r="G19" i="9"/>
  <c r="I19" i="9" s="1"/>
  <c r="F19" i="9"/>
  <c r="H19" i="9" s="1"/>
  <c r="L10" i="9"/>
  <c r="L11" i="9"/>
  <c r="F12" i="9"/>
  <c r="F17" i="9"/>
  <c r="H17" i="9" s="1"/>
  <c r="G17" i="9"/>
  <c r="I17" i="9" s="1"/>
  <c r="F12" i="2"/>
  <c r="B6" i="2"/>
  <c r="G18" i="2"/>
  <c r="I18" i="2" s="1"/>
  <c r="C17" i="12" l="1"/>
  <c r="D17" i="12"/>
  <c r="B17" i="12"/>
  <c r="B19" i="12" s="1"/>
  <c r="F18" i="9"/>
  <c r="H18" i="9" s="1"/>
  <c r="G18" i="9"/>
  <c r="I18" i="9" s="1"/>
  <c r="B24" i="12" l="1"/>
  <c r="B29" i="12"/>
  <c r="B31" i="12" l="1"/>
  <c r="B30" i="12"/>
  <c r="B26" i="12"/>
  <c r="B25" i="12"/>
</calcChain>
</file>

<file path=xl/sharedStrings.xml><?xml version="1.0" encoding="utf-8"?>
<sst xmlns="http://schemas.openxmlformats.org/spreadsheetml/2006/main" count="135" uniqueCount="89">
  <si>
    <t>Address</t>
  </si>
  <si>
    <t>9 Sycamore Road</t>
  </si>
  <si>
    <t>Age</t>
  </si>
  <si>
    <t>21 Jefferson St</t>
  </si>
  <si>
    <t>38 Hitching Post Lane</t>
  </si>
  <si>
    <t>4 Poppy Lane</t>
  </si>
  <si>
    <t>15 Francis Terrace</t>
  </si>
  <si>
    <t>23 Guilfoy Street</t>
  </si>
  <si>
    <t>8 Craft Avenue</t>
  </si>
  <si>
    <t>14 Fox Street</t>
  </si>
  <si>
    <t>2 Jerome Drive</t>
  </si>
  <si>
    <t>7 Valentine Street</t>
  </si>
  <si>
    <t>38 Jefferson Street</t>
  </si>
  <si>
    <t>15 Inwood Road</t>
  </si>
  <si>
    <t>29 Meadowfield Lane</t>
  </si>
  <si>
    <t>13 Westland Drive</t>
  </si>
  <si>
    <t>79 Valentine Street</t>
  </si>
  <si>
    <t>13 Fairmont Place</t>
  </si>
  <si>
    <t>1 Prestwick Terrace</t>
  </si>
  <si>
    <t>11 Clement Street</t>
  </si>
  <si>
    <t>7 Woodland Road</t>
  </si>
  <si>
    <t>36 Elm Avenue</t>
  </si>
  <si>
    <t>17 Duke Place</t>
  </si>
  <si>
    <t>12 Prospect Avenue</t>
  </si>
  <si>
    <t>30 Ann Street</t>
  </si>
  <si>
    <t>26 Broadfield Place</t>
  </si>
  <si>
    <t>16 Jackson Street</t>
  </si>
  <si>
    <t>17 Carlyle Drive</t>
  </si>
  <si>
    <t>22 Beechwood Ct.</t>
  </si>
  <si>
    <t>1 Buckeye Road</t>
  </si>
  <si>
    <t>5 Daniel Drive</t>
  </si>
  <si>
    <t>Property Size (acres)</t>
  </si>
  <si>
    <t>1 Raynham Road</t>
  </si>
  <si>
    <t>House Size (square feet)</t>
  </si>
  <si>
    <t>Rooms</t>
  </si>
  <si>
    <t>Baths</t>
  </si>
  <si>
    <t>Garage</t>
  </si>
  <si>
    <t>Fair Market Value ($000)</t>
  </si>
  <si>
    <t>Calculations</t>
  </si>
  <si>
    <r>
      <rPr>
        <i/>
        <sz val="11"/>
        <rFont val="Calibri"/>
        <family val="2"/>
      </rPr>
      <t>b2</t>
    </r>
    <r>
      <rPr>
        <sz val="11"/>
        <rFont val="Calibri"/>
        <family val="2"/>
      </rPr>
      <t>,</t>
    </r>
    <r>
      <rPr>
        <i/>
        <sz val="11"/>
        <rFont val="Calibri"/>
        <family val="2"/>
      </rPr>
      <t xml:space="preserve"> b1</t>
    </r>
    <r>
      <rPr>
        <sz val="11"/>
        <rFont val="Calibri"/>
        <family val="2"/>
      </rPr>
      <t>,</t>
    </r>
    <r>
      <rPr>
        <i/>
        <sz val="11"/>
        <rFont val="Calibri"/>
        <family val="2"/>
      </rPr>
      <t xml:space="preserve"> b0 </t>
    </r>
    <r>
      <rPr>
        <sz val="11"/>
        <rFont val="Calibri"/>
        <family val="2"/>
      </rPr>
      <t>intercepts</t>
    </r>
  </si>
  <si>
    <t>Regression Statistics</t>
  </si>
  <si>
    <r>
      <t xml:space="preserve">b2, b1, b0 </t>
    </r>
    <r>
      <rPr>
        <sz val="11"/>
        <rFont val="Calibri"/>
        <family val="2"/>
      </rPr>
      <t>Standard Error</t>
    </r>
  </si>
  <si>
    <t>Multiple R</t>
  </si>
  <si>
    <t>R Square, Standard Error</t>
  </si>
  <si>
    <t>R Square</t>
  </si>
  <si>
    <r>
      <t>F</t>
    </r>
    <r>
      <rPr>
        <sz val="11"/>
        <rFont val="Calibri"/>
        <family val="2"/>
      </rPr>
      <t xml:space="preserve">, Residual </t>
    </r>
    <r>
      <rPr>
        <i/>
        <sz val="11"/>
        <rFont val="Calibri"/>
        <family val="2"/>
      </rPr>
      <t>df</t>
    </r>
  </si>
  <si>
    <t>Adjusted R Square</t>
  </si>
  <si>
    <r>
      <t xml:space="preserve">Regression </t>
    </r>
    <r>
      <rPr>
        <i/>
        <sz val="11"/>
        <rFont val="Calibri"/>
        <family val="2"/>
      </rPr>
      <t>SS</t>
    </r>
    <r>
      <rPr>
        <sz val="11"/>
        <rFont val="Calibri"/>
        <family val="2"/>
      </rPr>
      <t xml:space="preserve">, Residual </t>
    </r>
    <r>
      <rPr>
        <i/>
        <sz val="11"/>
        <rFont val="Calibri"/>
        <family val="2"/>
      </rPr>
      <t>SS</t>
    </r>
  </si>
  <si>
    <t>Standard Error</t>
  </si>
  <si>
    <t>Observations</t>
  </si>
  <si>
    <t>Confidence level</t>
  </si>
  <si>
    <r>
      <t>t</t>
    </r>
    <r>
      <rPr>
        <sz val="11"/>
        <rFont val="Calibri"/>
        <family val="2"/>
      </rPr>
      <t xml:space="preserve"> Critical Value</t>
    </r>
  </si>
  <si>
    <t>ANOVA</t>
  </si>
  <si>
    <r>
      <t xml:space="preserve">Half Width </t>
    </r>
    <r>
      <rPr>
        <i/>
        <sz val="11"/>
        <rFont val="Calibri"/>
        <family val="2"/>
      </rPr>
      <t>b0</t>
    </r>
  </si>
  <si>
    <t>df</t>
  </si>
  <si>
    <t>SS</t>
  </si>
  <si>
    <t>MS</t>
  </si>
  <si>
    <t>F</t>
  </si>
  <si>
    <t>Significance F</t>
  </si>
  <si>
    <r>
      <t xml:space="preserve">Half Width </t>
    </r>
    <r>
      <rPr>
        <i/>
        <sz val="11"/>
        <rFont val="Calibri"/>
        <family val="2"/>
      </rPr>
      <t>b1</t>
    </r>
  </si>
  <si>
    <t>Regression</t>
  </si>
  <si>
    <r>
      <t xml:space="preserve">Half Width </t>
    </r>
    <r>
      <rPr>
        <i/>
        <sz val="11"/>
        <rFont val="Calibri"/>
        <family val="2"/>
      </rPr>
      <t>b2</t>
    </r>
  </si>
  <si>
    <t>Residual</t>
  </si>
  <si>
    <t>Total</t>
  </si>
  <si>
    <t>Coefficients</t>
  </si>
  <si>
    <t>t Stat</t>
  </si>
  <si>
    <t>P-value</t>
  </si>
  <si>
    <t>Intercept</t>
  </si>
  <si>
    <t>Regression Analysis</t>
  </si>
  <si>
    <t>Observation</t>
  </si>
  <si>
    <t>Predicted Fair Market Value ($000)</t>
  </si>
  <si>
    <t>Confidence Interval Estimate and Prediction Interval</t>
  </si>
  <si>
    <t>Confidence Level</t>
  </si>
  <si>
    <t>Property Size (acres) given value</t>
  </si>
  <si>
    <t>Age given value</t>
  </si>
  <si>
    <t>X'X</t>
  </si>
  <si>
    <t>Inverse of X'X</t>
  </si>
  <si>
    <t>X'G times Inverse of X'X</t>
  </si>
  <si>
    <t>[X'G times Inverse of X'X] times XG</t>
  </si>
  <si>
    <t>t Statistic</t>
  </si>
  <si>
    <t>Predicted Y (YHat)</t>
  </si>
  <si>
    <t>For Average Predicted Y (YHat)</t>
  </si>
  <si>
    <t>Interval Half Width</t>
  </si>
  <si>
    <t>Confidence Interval Lower Limit</t>
  </si>
  <si>
    <t>Confidence Interval Upper Limit</t>
  </si>
  <si>
    <t>For Individual Response Y</t>
  </si>
  <si>
    <t>Prediction Interval Lower Limit</t>
  </si>
  <si>
    <t>Prediction Interval Upper Limit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</si>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</sst>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0" fontId="2" fillId="0" borderId="2" xfId="0" applyFont="1" applyBorder="1" applyAlignment="1">
      <alignment horizontal="center" wrapText="1"/>
    </xf>
    <xf numFmtId="164" fontId="3" fillId="0" borderId="0" xfId="0" applyNumberFormat="1" applyFont="1" applyAlignment="1">
      <alignment horizontal="right"/>
    </xf>
    <xf numFmtId="0" fontId="5" fillId="0" borderId="0" xfId="1" applyFont="1"/>
    <xf numFmtId="0" fontId="6" fillId="0" borderId="0" xfId="1" applyFont="1"/>
    <xf numFmtId="165" fontId="6" fillId="0" borderId="0" xfId="1" applyNumberFormat="1" applyFont="1"/>
    <xf numFmtId="0" fontId="8" fillId="0" borderId="1" xfId="1" applyFont="1" applyBorder="1" applyAlignment="1">
      <alignment horizontal="centerContinuous"/>
    </xf>
    <xf numFmtId="0" fontId="7" fillId="0" borderId="1" xfId="1" applyFont="1" applyBorder="1" applyAlignment="1">
      <alignment horizontal="centerContinuous"/>
    </xf>
    <xf numFmtId="0" fontId="7" fillId="0" borderId="0" xfId="1" applyFont="1"/>
    <xf numFmtId="0" fontId="6" fillId="0" borderId="3" xfId="1" applyFont="1" applyBorder="1"/>
    <xf numFmtId="9" fontId="6" fillId="0" borderId="0" xfId="2" applyFont="1" applyFill="1"/>
    <xf numFmtId="0" fontId="7" fillId="0" borderId="1" xfId="1" applyFont="1" applyBorder="1" applyAlignment="1">
      <alignment horizontal="center"/>
    </xf>
    <xf numFmtId="165" fontId="6" fillId="0" borderId="3" xfId="1" applyNumberFormat="1" applyFont="1" applyBorder="1"/>
    <xf numFmtId="165" fontId="6" fillId="0" borderId="4" xfId="1" applyNumberFormat="1" applyFont="1" applyBorder="1"/>
    <xf numFmtId="165" fontId="6" fillId="0" borderId="5" xfId="1" applyNumberFormat="1" applyFont="1" applyBorder="1"/>
    <xf numFmtId="165" fontId="6" fillId="0" borderId="6" xfId="1" applyNumberFormat="1" applyFont="1" applyBorder="1"/>
    <xf numFmtId="0" fontId="6" fillId="0" borderId="7" xfId="1" applyFont="1" applyBorder="1"/>
    <xf numFmtId="165" fontId="6" fillId="0" borderId="8" xfId="1" applyNumberFormat="1" applyFont="1" applyBorder="1"/>
    <xf numFmtId="165" fontId="6" fillId="0" borderId="9" xfId="1" applyNumberFormat="1" applyFont="1" applyBorder="1"/>
    <xf numFmtId="165" fontId="6" fillId="0" borderId="10" xfId="1" applyNumberFormat="1" applyFont="1" applyBorder="1"/>
    <xf numFmtId="0" fontId="9" fillId="0" borderId="0" xfId="0" applyFont="1"/>
    <xf numFmtId="0" fontId="9" fillId="2" borderId="13" xfId="0" applyFont="1" applyFill="1" applyBorder="1"/>
    <xf numFmtId="0" fontId="9" fillId="0" borderId="12" xfId="0" applyFont="1" applyBorder="1"/>
    <xf numFmtId="0" fontId="0" fillId="0" borderId="2" xfId="0" applyBorder="1"/>
    <xf numFmtId="0" fontId="9" fillId="3" borderId="13" xfId="0" applyFont="1" applyFill="1" applyBorder="1"/>
    <xf numFmtId="0" fontId="9" fillId="2" borderId="13" xfId="0" applyFont="1" applyFill="1" applyBorder="1" applyProtection="1">
      <protection locked="0"/>
    </xf>
    <xf numFmtId="9" fontId="9" fillId="2" borderId="13" xfId="0" applyNumberFormat="1" applyFont="1" applyFill="1" applyBorder="1" applyProtection="1">
      <protection locked="0"/>
    </xf>
    <xf numFmtId="0" fontId="7" fillId="0" borderId="2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</cellXfs>
  <cellStyles count="3">
    <cellStyle name="Normal" xfId="0" builtinId="0"/>
    <cellStyle name="Normal 2" xfId="1" xr:uid="{7C1E0016-ADB5-3843-816F-241B482DE429}"/>
    <cellStyle name="Percent 2" xfId="2" xr:uid="{A0890F07-318A-8E4A-822E-4F5105C334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051E-4E03-2E41-A2AA-8ABF05BAD24E}">
  <dimension ref="A1:D31"/>
  <sheetViews>
    <sheetView workbookViewId="0">
      <selection activeCell="F34" sqref="F34"/>
    </sheetView>
  </sheetViews>
  <sheetFormatPr baseColWidth="10" defaultRowHeight="13" x14ac:dyDescent="0.15"/>
  <cols>
    <col min="1" max="1" width="28.83203125" bestFit="1" customWidth="1"/>
  </cols>
  <sheetData>
    <row r="1" spans="1:4" x14ac:dyDescent="0.15">
      <c r="A1" s="29" t="s">
        <v>71</v>
      </c>
    </row>
    <row r="2" spans="1:4" x14ac:dyDescent="0.15">
      <c r="A2" s="29"/>
    </row>
    <row r="3" spans="1:4" x14ac:dyDescent="0.15">
      <c r="A3" s="39" t="s">
        <v>88</v>
      </c>
      <c r="B3" s="40"/>
    </row>
    <row r="4" spans="1:4" x14ac:dyDescent="0.15">
      <c r="A4" s="30" t="s">
        <v>72</v>
      </c>
      <c r="B4" s="35">
        <v>0.95</v>
      </c>
    </row>
    <row r="5" spans="1:4" x14ac:dyDescent="0.15">
      <c r="B5">
        <v>1</v>
      </c>
    </row>
    <row r="6" spans="1:4" x14ac:dyDescent="0.15">
      <c r="A6" s="30" t="s">
        <v>73</v>
      </c>
      <c r="B6" s="34">
        <v>0.25</v>
      </c>
    </row>
    <row r="7" spans="1:4" x14ac:dyDescent="0.15">
      <c r="A7" s="30" t="s">
        <v>74</v>
      </c>
      <c r="B7" s="34">
        <v>55</v>
      </c>
    </row>
    <row r="9" spans="1:4" x14ac:dyDescent="0.15">
      <c r="A9" t="s">
        <v>75</v>
      </c>
      <c r="B9">
        <f t="array" ref="B9:D11">MMULT(TRANSPOSE(CIEPIData!$A$2:$C$31),CIEPIData!$A$2:$C$31)</f>
        <v>30</v>
      </c>
      <c r="C9">
        <v>8.2788000000000022</v>
      </c>
      <c r="D9">
        <v>1802</v>
      </c>
    </row>
    <row r="10" spans="1:4" x14ac:dyDescent="0.15">
      <c r="B10">
        <v>8.2788000000000022</v>
      </c>
      <c r="C10">
        <v>3.9058973199999993</v>
      </c>
      <c r="D10">
        <v>481.55379999999991</v>
      </c>
    </row>
    <row r="11" spans="1:4" x14ac:dyDescent="0.15">
      <c r="B11">
        <v>1802</v>
      </c>
      <c r="C11">
        <v>481.55379999999991</v>
      </c>
      <c r="D11">
        <v>122908</v>
      </c>
    </row>
    <row r="13" spans="1:4" x14ac:dyDescent="0.15">
      <c r="A13" t="s">
        <v>76</v>
      </c>
      <c r="B13">
        <f t="array" ref="B13:D15">MINVERSE($B$9:$D$11)</f>
        <v>0.3515173210301053</v>
      </c>
      <c r="C13">
        <v>-0.21213931742912043</v>
      </c>
      <c r="D13">
        <v>-4.3225641785632381E-3</v>
      </c>
    </row>
    <row r="14" spans="1:4" x14ac:dyDescent="0.15">
      <c r="B14">
        <v>-0.21213931742912046</v>
      </c>
      <c r="C14">
        <v>0.62327860263188906</v>
      </c>
      <c r="D14">
        <v>6.6824674106810711E-4</v>
      </c>
    </row>
    <row r="15" spans="1:4" x14ac:dyDescent="0.15">
      <c r="B15">
        <v>-4.3225641785632389E-3</v>
      </c>
      <c r="C15">
        <v>6.68246741068107E-4</v>
      </c>
      <c r="D15">
        <v>6.8892699354574093E-5</v>
      </c>
    </row>
    <row r="17" spans="1:4" x14ac:dyDescent="0.15">
      <c r="A17" t="s">
        <v>77</v>
      </c>
      <c r="B17">
        <f t="array" ref="B17:D17">MMULT(TRANSPOSE($B$5:$B$7),$B$13:$D$15)</f>
        <v>6.0741461851847062E-2</v>
      </c>
      <c r="C17">
        <v>-1.9566096012402279E-2</v>
      </c>
      <c r="D17">
        <v>-3.6640402879463624E-4</v>
      </c>
    </row>
    <row r="19" spans="1:4" x14ac:dyDescent="0.15">
      <c r="A19" t="s">
        <v>78</v>
      </c>
      <c r="B19">
        <f>MMULT($B$17:$D$17,$B$5:$B$7)</f>
        <v>3.56977162650415E-2</v>
      </c>
    </row>
    <row r="20" spans="1:4" x14ac:dyDescent="0.15">
      <c r="A20" t="s">
        <v>79</v>
      </c>
      <c r="B20">
        <f>TINV(1 - B4, COMPUTE2!$B$13)</f>
        <v>2.0518305164802841</v>
      </c>
    </row>
    <row r="21" spans="1:4" x14ac:dyDescent="0.15">
      <c r="A21" s="31" t="s">
        <v>80</v>
      </c>
      <c r="B21" s="31">
        <f t="array" ref="B21">MMULT(TRANSPOSE($B$5:$B$7), COMPUTE2!$B$17:$B$19)</f>
        <v>478.65772891332233</v>
      </c>
    </row>
    <row r="22" spans="1:4" x14ac:dyDescent="0.15">
      <c r="A22" s="32"/>
      <c r="B22" s="32"/>
    </row>
    <row r="23" spans="1:4" x14ac:dyDescent="0.15">
      <c r="A23" s="38" t="s">
        <v>81</v>
      </c>
      <c r="B23" s="38"/>
    </row>
    <row r="24" spans="1:4" x14ac:dyDescent="0.15">
      <c r="A24" s="33" t="s">
        <v>82</v>
      </c>
      <c r="B24" s="33">
        <f>B20 * SQRT(B19) * COMPUTE2!$B$7</f>
        <v>31.821051136612176</v>
      </c>
    </row>
    <row r="25" spans="1:4" x14ac:dyDescent="0.15">
      <c r="A25" s="33" t="s">
        <v>83</v>
      </c>
      <c r="B25" s="33">
        <f>B21 - B24</f>
        <v>446.83667777671013</v>
      </c>
    </row>
    <row r="26" spans="1:4" x14ac:dyDescent="0.15">
      <c r="A26" s="33" t="s">
        <v>84</v>
      </c>
      <c r="B26" s="33">
        <f>B21 + B24</f>
        <v>510.47878004993453</v>
      </c>
    </row>
    <row r="27" spans="1:4" x14ac:dyDescent="0.15">
      <c r="A27" s="32"/>
      <c r="B27" s="32"/>
    </row>
    <row r="28" spans="1:4" x14ac:dyDescent="0.15">
      <c r="A28" s="38" t="s">
        <v>85</v>
      </c>
      <c r="B28" s="38"/>
    </row>
    <row r="29" spans="1:4" x14ac:dyDescent="0.15">
      <c r="A29" s="33" t="s">
        <v>82</v>
      </c>
      <c r="B29" s="33">
        <f>B20 * SQRT(1 + B19)*COMPUTE2!$B$7</f>
        <v>171.39999863510857</v>
      </c>
    </row>
    <row r="30" spans="1:4" x14ac:dyDescent="0.15">
      <c r="A30" s="33" t="s">
        <v>86</v>
      </c>
      <c r="B30" s="33">
        <f>B21 - B29</f>
        <v>307.25773027821378</v>
      </c>
    </row>
    <row r="31" spans="1:4" x14ac:dyDescent="0.15">
      <c r="A31" s="33" t="s">
        <v>87</v>
      </c>
      <c r="B31" s="33">
        <f>B21 + B29</f>
        <v>650.05772754843088</v>
      </c>
    </row>
  </sheetData>
  <sheetProtection sheet="1"/>
  <mergeCells count="3">
    <mergeCell ref="A23:B23"/>
    <mergeCell ref="A28:B28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E7A0-62E5-5749-9032-80C475AEC8E5}">
  <dimension ref="A1:C31"/>
  <sheetViews>
    <sheetView workbookViewId="0"/>
  </sheetViews>
  <sheetFormatPr baseColWidth="10" defaultRowHeight="13" x14ac:dyDescent="0.15"/>
  <sheetData>
    <row r="1" spans="1:3" x14ac:dyDescent="0.15">
      <c r="B1" t="s">
        <v>31</v>
      </c>
      <c r="C1" t="s">
        <v>2</v>
      </c>
    </row>
    <row r="2" spans="1:3" x14ac:dyDescent="0.15">
      <c r="A2">
        <v>1</v>
      </c>
      <c r="B2">
        <v>0.22969999999999999</v>
      </c>
      <c r="C2">
        <v>56</v>
      </c>
    </row>
    <row r="3" spans="1:3" x14ac:dyDescent="0.15">
      <c r="A3">
        <v>1</v>
      </c>
      <c r="B3">
        <v>0.21920000000000001</v>
      </c>
      <c r="C3">
        <v>61</v>
      </c>
    </row>
    <row r="4" spans="1:3" x14ac:dyDescent="0.15">
      <c r="A4">
        <v>1</v>
      </c>
      <c r="B4">
        <v>0.16300000000000001</v>
      </c>
      <c r="C4">
        <v>39</v>
      </c>
    </row>
    <row r="5" spans="1:3" x14ac:dyDescent="0.15">
      <c r="A5">
        <v>1</v>
      </c>
      <c r="B5">
        <v>0.46079999999999999</v>
      </c>
      <c r="C5">
        <v>28</v>
      </c>
    </row>
    <row r="6" spans="1:3" x14ac:dyDescent="0.15">
      <c r="A6">
        <v>1</v>
      </c>
      <c r="B6">
        <v>0.25490000000000002</v>
      </c>
      <c r="C6">
        <v>56</v>
      </c>
    </row>
    <row r="7" spans="1:3" x14ac:dyDescent="0.15">
      <c r="A7">
        <v>1</v>
      </c>
      <c r="B7">
        <v>0.22900000000000001</v>
      </c>
      <c r="C7">
        <v>98</v>
      </c>
    </row>
    <row r="8" spans="1:3" x14ac:dyDescent="0.15">
      <c r="A8">
        <v>1</v>
      </c>
      <c r="B8">
        <v>0.18079999999999999</v>
      </c>
      <c r="C8">
        <v>58</v>
      </c>
    </row>
    <row r="9" spans="1:3" x14ac:dyDescent="0.15">
      <c r="A9">
        <v>1</v>
      </c>
      <c r="B9">
        <v>0.50149999999999995</v>
      </c>
      <c r="C9">
        <v>17</v>
      </c>
    </row>
    <row r="10" spans="1:3" x14ac:dyDescent="0.15">
      <c r="A10">
        <v>1</v>
      </c>
      <c r="B10">
        <v>0.22289999999999999</v>
      </c>
      <c r="C10">
        <v>62</v>
      </c>
    </row>
    <row r="11" spans="1:3" x14ac:dyDescent="0.15">
      <c r="A11">
        <v>1</v>
      </c>
      <c r="B11">
        <v>0.13</v>
      </c>
      <c r="C11">
        <v>25</v>
      </c>
    </row>
    <row r="12" spans="1:3" x14ac:dyDescent="0.15">
      <c r="A12">
        <v>1</v>
      </c>
      <c r="B12">
        <v>0.17630000000000001</v>
      </c>
      <c r="C12">
        <v>64</v>
      </c>
    </row>
    <row r="13" spans="1:3" x14ac:dyDescent="0.15">
      <c r="A13">
        <v>1</v>
      </c>
      <c r="B13">
        <v>1.31</v>
      </c>
      <c r="C13">
        <v>62</v>
      </c>
    </row>
    <row r="14" spans="1:3" x14ac:dyDescent="0.15">
      <c r="A14">
        <v>1</v>
      </c>
      <c r="B14">
        <v>0.252</v>
      </c>
      <c r="C14">
        <v>56</v>
      </c>
    </row>
    <row r="15" spans="1:3" x14ac:dyDescent="0.15">
      <c r="A15">
        <v>1</v>
      </c>
      <c r="B15">
        <v>0.1148</v>
      </c>
      <c r="C15">
        <v>22</v>
      </c>
    </row>
    <row r="16" spans="1:3" x14ac:dyDescent="0.15">
      <c r="A16">
        <v>1</v>
      </c>
      <c r="B16">
        <v>0.16930000000000001</v>
      </c>
      <c r="C16">
        <v>74</v>
      </c>
    </row>
    <row r="17" spans="1:3" x14ac:dyDescent="0.15">
      <c r="A17">
        <v>1</v>
      </c>
      <c r="B17">
        <v>0.1714</v>
      </c>
      <c r="C17">
        <v>62</v>
      </c>
    </row>
    <row r="18" spans="1:3" x14ac:dyDescent="0.15">
      <c r="A18">
        <v>1</v>
      </c>
      <c r="B18">
        <v>0.38490000000000002</v>
      </c>
      <c r="C18">
        <v>54</v>
      </c>
    </row>
    <row r="19" spans="1:3" x14ac:dyDescent="0.15">
      <c r="A19">
        <v>1</v>
      </c>
      <c r="B19">
        <v>0.65449999999999997</v>
      </c>
      <c r="C19">
        <v>56</v>
      </c>
    </row>
    <row r="20" spans="1:3" x14ac:dyDescent="0.15">
      <c r="A20">
        <v>1</v>
      </c>
      <c r="B20">
        <v>0.17219999999999999</v>
      </c>
      <c r="C20">
        <v>62</v>
      </c>
    </row>
    <row r="21" spans="1:3" x14ac:dyDescent="0.15">
      <c r="A21">
        <v>1</v>
      </c>
      <c r="B21">
        <v>0.14349999999999999</v>
      </c>
      <c r="C21">
        <v>88</v>
      </c>
    </row>
    <row r="22" spans="1:3" x14ac:dyDescent="0.15">
      <c r="A22">
        <v>1</v>
      </c>
      <c r="B22">
        <v>0.27550000000000002</v>
      </c>
      <c r="C22">
        <v>81</v>
      </c>
    </row>
    <row r="23" spans="1:3" x14ac:dyDescent="0.15">
      <c r="A23">
        <v>1</v>
      </c>
      <c r="B23">
        <v>0.1148</v>
      </c>
      <c r="C23">
        <v>107</v>
      </c>
    </row>
    <row r="24" spans="1:3" x14ac:dyDescent="0.15">
      <c r="A24">
        <v>1</v>
      </c>
      <c r="B24">
        <v>0.36359999999999998</v>
      </c>
      <c r="C24">
        <v>55</v>
      </c>
    </row>
    <row r="25" spans="1:3" x14ac:dyDescent="0.15">
      <c r="A25">
        <v>1</v>
      </c>
      <c r="B25">
        <v>0.1474</v>
      </c>
      <c r="C25">
        <v>51</v>
      </c>
    </row>
    <row r="26" spans="1:3" x14ac:dyDescent="0.15">
      <c r="A26">
        <v>1</v>
      </c>
      <c r="B26">
        <v>0.2281</v>
      </c>
      <c r="C26">
        <v>50</v>
      </c>
    </row>
    <row r="27" spans="1:3" x14ac:dyDescent="0.15">
      <c r="A27">
        <v>1</v>
      </c>
      <c r="B27">
        <v>0.46260000000000001</v>
      </c>
      <c r="C27">
        <v>92</v>
      </c>
    </row>
    <row r="28" spans="1:3" x14ac:dyDescent="0.15">
      <c r="A28">
        <v>1</v>
      </c>
      <c r="B28">
        <v>0.18890000000000001</v>
      </c>
      <c r="C28">
        <v>64</v>
      </c>
    </row>
    <row r="29" spans="1:3" x14ac:dyDescent="0.15">
      <c r="A29">
        <v>1</v>
      </c>
      <c r="B29">
        <v>0.12280000000000001</v>
      </c>
      <c r="C29">
        <v>54</v>
      </c>
    </row>
    <row r="30" spans="1:3" x14ac:dyDescent="0.15">
      <c r="A30">
        <v>1</v>
      </c>
      <c r="B30">
        <v>0.1492</v>
      </c>
      <c r="C30">
        <v>44</v>
      </c>
    </row>
    <row r="31" spans="1:3" x14ac:dyDescent="0.15">
      <c r="A31">
        <v>1</v>
      </c>
      <c r="B31">
        <v>8.5199999999999998E-2</v>
      </c>
      <c r="C31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6B06-F0D3-C24B-92B7-6BBFC7090C13}">
  <dimension ref="A1:C31"/>
  <sheetViews>
    <sheetView workbookViewId="0"/>
  </sheetViews>
  <sheetFormatPr baseColWidth="10" defaultRowHeight="13" x14ac:dyDescent="0.15"/>
  <sheetData>
    <row r="1" spans="1:3" x14ac:dyDescent="0.15">
      <c r="A1" t="s">
        <v>37</v>
      </c>
      <c r="B1" t="s">
        <v>31</v>
      </c>
      <c r="C1" t="s">
        <v>2</v>
      </c>
    </row>
    <row r="2" spans="1:3" x14ac:dyDescent="0.15">
      <c r="A2">
        <v>522.9</v>
      </c>
      <c r="B2">
        <v>0.22969999999999999</v>
      </c>
      <c r="C2">
        <v>56</v>
      </c>
    </row>
    <row r="3" spans="1:3" x14ac:dyDescent="0.15">
      <c r="A3">
        <v>425</v>
      </c>
      <c r="B3">
        <v>0.21920000000000001</v>
      </c>
      <c r="C3">
        <v>61</v>
      </c>
    </row>
    <row r="4" spans="1:3" x14ac:dyDescent="0.15">
      <c r="A4">
        <v>539.20000000000005</v>
      </c>
      <c r="B4">
        <v>0.16300000000000001</v>
      </c>
      <c r="C4">
        <v>39</v>
      </c>
    </row>
    <row r="5" spans="1:3" x14ac:dyDescent="0.15">
      <c r="A5">
        <v>628.20000000000005</v>
      </c>
      <c r="B5">
        <v>0.46079999999999999</v>
      </c>
      <c r="C5">
        <v>28</v>
      </c>
    </row>
    <row r="6" spans="1:3" x14ac:dyDescent="0.15">
      <c r="A6">
        <v>490.4</v>
      </c>
      <c r="B6">
        <v>0.25490000000000002</v>
      </c>
      <c r="C6">
        <v>56</v>
      </c>
    </row>
    <row r="7" spans="1:3" x14ac:dyDescent="0.15">
      <c r="A7">
        <v>487.7</v>
      </c>
      <c r="B7">
        <v>0.22900000000000001</v>
      </c>
      <c r="C7">
        <v>98</v>
      </c>
    </row>
    <row r="8" spans="1:3" x14ac:dyDescent="0.15">
      <c r="A8">
        <v>370.3</v>
      </c>
      <c r="B8">
        <v>0.18079999999999999</v>
      </c>
      <c r="C8">
        <v>58</v>
      </c>
    </row>
    <row r="9" spans="1:3" x14ac:dyDescent="0.15">
      <c r="A9">
        <v>777.9</v>
      </c>
      <c r="B9">
        <v>0.50149999999999995</v>
      </c>
      <c r="C9">
        <v>17</v>
      </c>
    </row>
    <row r="10" spans="1:3" x14ac:dyDescent="0.15">
      <c r="A10">
        <v>347.1</v>
      </c>
      <c r="B10">
        <v>0.22289999999999999</v>
      </c>
      <c r="C10">
        <v>62</v>
      </c>
    </row>
    <row r="11" spans="1:3" x14ac:dyDescent="0.15">
      <c r="A11">
        <v>756.8</v>
      </c>
      <c r="B11">
        <v>0.13</v>
      </c>
      <c r="C11">
        <v>25</v>
      </c>
    </row>
    <row r="12" spans="1:3" x14ac:dyDescent="0.15">
      <c r="A12">
        <v>389</v>
      </c>
      <c r="B12">
        <v>0.17630000000000001</v>
      </c>
      <c r="C12">
        <v>64</v>
      </c>
    </row>
    <row r="13" spans="1:3" x14ac:dyDescent="0.15">
      <c r="A13">
        <v>889</v>
      </c>
      <c r="B13">
        <v>1.31</v>
      </c>
      <c r="C13">
        <v>62</v>
      </c>
    </row>
    <row r="14" spans="1:3" x14ac:dyDescent="0.15">
      <c r="A14">
        <v>452.2</v>
      </c>
      <c r="B14">
        <v>0.252</v>
      </c>
      <c r="C14">
        <v>56</v>
      </c>
    </row>
    <row r="15" spans="1:3" x14ac:dyDescent="0.15">
      <c r="A15">
        <v>412.4</v>
      </c>
      <c r="B15">
        <v>0.1148</v>
      </c>
      <c r="C15">
        <v>22</v>
      </c>
    </row>
    <row r="16" spans="1:3" x14ac:dyDescent="0.15">
      <c r="A16">
        <v>338.3</v>
      </c>
      <c r="B16">
        <v>0.16930000000000001</v>
      </c>
      <c r="C16">
        <v>74</v>
      </c>
    </row>
    <row r="17" spans="1:3" x14ac:dyDescent="0.15">
      <c r="A17">
        <v>334.3</v>
      </c>
      <c r="B17">
        <v>0.1714</v>
      </c>
      <c r="C17">
        <v>62</v>
      </c>
    </row>
    <row r="18" spans="1:3" x14ac:dyDescent="0.15">
      <c r="A18">
        <v>437.4</v>
      </c>
      <c r="B18">
        <v>0.38490000000000002</v>
      </c>
      <c r="C18">
        <v>54</v>
      </c>
    </row>
    <row r="19" spans="1:3" x14ac:dyDescent="0.15">
      <c r="A19">
        <v>644</v>
      </c>
      <c r="B19">
        <v>0.65449999999999997</v>
      </c>
      <c r="C19">
        <v>56</v>
      </c>
    </row>
    <row r="20" spans="1:3" x14ac:dyDescent="0.15">
      <c r="A20">
        <v>387.8</v>
      </c>
      <c r="B20">
        <v>0.17219999999999999</v>
      </c>
      <c r="C20">
        <v>62</v>
      </c>
    </row>
    <row r="21" spans="1:3" x14ac:dyDescent="0.15">
      <c r="A21">
        <v>399.8</v>
      </c>
      <c r="B21">
        <v>0.14349999999999999</v>
      </c>
      <c r="C21">
        <v>88</v>
      </c>
    </row>
    <row r="22" spans="1:3" x14ac:dyDescent="0.15">
      <c r="A22">
        <v>356.4</v>
      </c>
      <c r="B22">
        <v>0.27550000000000002</v>
      </c>
      <c r="C22">
        <v>81</v>
      </c>
    </row>
    <row r="23" spans="1:3" x14ac:dyDescent="0.15">
      <c r="A23">
        <v>346.9</v>
      </c>
      <c r="B23">
        <v>0.1148</v>
      </c>
      <c r="C23">
        <v>107</v>
      </c>
    </row>
    <row r="24" spans="1:3" x14ac:dyDescent="0.15">
      <c r="A24">
        <v>541.79999999999995</v>
      </c>
      <c r="B24">
        <v>0.36359999999999998</v>
      </c>
      <c r="C24">
        <v>55</v>
      </c>
    </row>
    <row r="25" spans="1:3" x14ac:dyDescent="0.15">
      <c r="A25">
        <v>388</v>
      </c>
      <c r="B25">
        <v>0.1474</v>
      </c>
      <c r="C25">
        <v>51</v>
      </c>
    </row>
    <row r="26" spans="1:3" x14ac:dyDescent="0.15">
      <c r="A26">
        <v>564</v>
      </c>
      <c r="B26">
        <v>0.2281</v>
      </c>
      <c r="C26">
        <v>50</v>
      </c>
    </row>
    <row r="27" spans="1:3" x14ac:dyDescent="0.15">
      <c r="A27">
        <v>454.4</v>
      </c>
      <c r="B27">
        <v>0.46260000000000001</v>
      </c>
      <c r="C27">
        <v>92</v>
      </c>
    </row>
    <row r="28" spans="1:3" x14ac:dyDescent="0.15">
      <c r="A28">
        <v>417.3</v>
      </c>
      <c r="B28">
        <v>0.18890000000000001</v>
      </c>
      <c r="C28">
        <v>64</v>
      </c>
    </row>
    <row r="29" spans="1:3" x14ac:dyDescent="0.15">
      <c r="A29">
        <v>318.8</v>
      </c>
      <c r="B29">
        <v>0.12280000000000001</v>
      </c>
      <c r="C29">
        <v>54</v>
      </c>
    </row>
    <row r="30" spans="1:3" x14ac:dyDescent="0.15">
      <c r="A30">
        <v>519.79999999999995</v>
      </c>
      <c r="B30">
        <v>0.1492</v>
      </c>
      <c r="C30">
        <v>44</v>
      </c>
    </row>
    <row r="31" spans="1:3" x14ac:dyDescent="0.15">
      <c r="A31">
        <v>310.2</v>
      </c>
      <c r="B31">
        <v>8.5199999999999998E-2</v>
      </c>
      <c r="C31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C517-E7DD-2246-876A-F0E3E1CFC9B8}">
  <sheetPr codeName="Sheet38"/>
  <dimension ref="A1:N33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14.6640625" style="13" bestFit="1" customWidth="1"/>
    <col min="2" max="2" width="10.6640625" style="13" bestFit="1" customWidth="1"/>
    <col min="3" max="3" width="13.1640625" style="13" bestFit="1" customWidth="1"/>
    <col min="4" max="4" width="11.6640625" style="13" bestFit="1" customWidth="1"/>
    <col min="5" max="5" width="7.6640625" style="13" bestFit="1" customWidth="1"/>
    <col min="6" max="6" width="12.33203125" style="13" bestFit="1" customWidth="1"/>
    <col min="7" max="7" width="10.1640625" style="13" bestFit="1" customWidth="1"/>
    <col min="8" max="9" width="12.5" style="13" bestFit="1" customWidth="1"/>
    <col min="10" max="10" width="1.5" style="13" customWidth="1"/>
    <col min="11" max="11" width="25.1640625" style="13" customWidth="1"/>
    <col min="12" max="13" width="12" style="13" customWidth="1"/>
    <col min="14" max="14" width="9.5" style="13" bestFit="1" customWidth="1"/>
    <col min="15" max="16384" width="9.1640625" style="13"/>
  </cols>
  <sheetData>
    <row r="1" spans="1:14" ht="15" customHeight="1" thickBot="1" x14ac:dyDescent="0.25">
      <c r="A1" s="12" t="s">
        <v>68</v>
      </c>
      <c r="K1" s="36" t="s">
        <v>38</v>
      </c>
      <c r="L1" s="37"/>
      <c r="M1" s="37"/>
      <c r="N1" s="37"/>
    </row>
    <row r="2" spans="1:14" ht="15" customHeight="1" thickBot="1" x14ac:dyDescent="0.25">
      <c r="K2" s="13" t="s">
        <v>39</v>
      </c>
      <c r="L2" s="23">
        <f t="array" ref="L2:N6">LINEST(MRData2!$A$2:$A$31, MRData2!$B$2:$C$31,TRUE,TRUE)</f>
        <v>-2.8257123935753574</v>
      </c>
      <c r="M2" s="24">
        <v>407.13458708754257</v>
      </c>
      <c r="N2" s="26">
        <v>532.28826378808139</v>
      </c>
    </row>
    <row r="3" spans="1:14" ht="15" customHeight="1" x14ac:dyDescent="0.2">
      <c r="A3" s="15" t="s">
        <v>40</v>
      </c>
      <c r="B3" s="16"/>
      <c r="K3" s="17" t="s">
        <v>41</v>
      </c>
      <c r="L3" s="22">
        <v>0.68130161892502683</v>
      </c>
      <c r="M3" s="14">
        <v>64.802823526792082</v>
      </c>
      <c r="N3" s="27">
        <v>48.66605975014911</v>
      </c>
    </row>
    <row r="4" spans="1:14" ht="15" customHeight="1" x14ac:dyDescent="0.2">
      <c r="A4" s="13" t="s">
        <v>42</v>
      </c>
      <c r="B4" s="14">
        <f>SQRT(C12/C14)</f>
        <v>0.83593946185141632</v>
      </c>
      <c r="K4" s="13" t="s">
        <v>43</v>
      </c>
      <c r="L4" s="22">
        <v>0.69879478388043548</v>
      </c>
      <c r="M4" s="14">
        <v>82.082924266285445</v>
      </c>
      <c r="N4" s="27" t="e">
        <v>#N/A</v>
      </c>
    </row>
    <row r="5" spans="1:14" ht="15" customHeight="1" x14ac:dyDescent="0.2">
      <c r="A5" s="13" t="s">
        <v>44</v>
      </c>
      <c r="B5" s="14">
        <f>L4</f>
        <v>0.69879478388043548</v>
      </c>
      <c r="K5" s="17" t="s">
        <v>45</v>
      </c>
      <c r="L5" s="22">
        <v>31.319940948967915</v>
      </c>
      <c r="M5" s="13">
        <v>27</v>
      </c>
      <c r="N5" s="27" t="e">
        <v>#N/A</v>
      </c>
    </row>
    <row r="6" spans="1:14" ht="15" customHeight="1" thickBot="1" x14ac:dyDescent="0.25">
      <c r="A6" s="13" t="s">
        <v>46</v>
      </c>
      <c r="B6" s="14">
        <f>1-(B14/B13)*(C13/C14)</f>
        <v>0.67648328639009736</v>
      </c>
      <c r="K6" s="13" t="s">
        <v>47</v>
      </c>
      <c r="L6" s="25">
        <v>422042.87268517166</v>
      </c>
      <c r="M6" s="18">
        <v>181915.37431482831</v>
      </c>
      <c r="N6" s="28" t="e">
        <v>#N/A</v>
      </c>
    </row>
    <row r="7" spans="1:14" ht="15" customHeight="1" x14ac:dyDescent="0.2">
      <c r="A7" s="13" t="s">
        <v>48</v>
      </c>
      <c r="B7" s="14">
        <f>M4</f>
        <v>82.082924266285445</v>
      </c>
      <c r="L7" s="14"/>
      <c r="M7" s="14"/>
      <c r="N7" s="14"/>
    </row>
    <row r="8" spans="1:14" ht="15" customHeight="1" thickBot="1" x14ac:dyDescent="0.25">
      <c r="A8" s="18" t="s">
        <v>49</v>
      </c>
      <c r="B8" s="18">
        <f>COUNT(MRData2!$A$2:$A$31)</f>
        <v>30</v>
      </c>
      <c r="K8" s="13" t="s">
        <v>50</v>
      </c>
      <c r="L8" s="19">
        <v>0.95</v>
      </c>
      <c r="M8" s="14"/>
      <c r="N8" s="14"/>
    </row>
    <row r="9" spans="1:14" ht="15" customHeight="1" x14ac:dyDescent="0.2">
      <c r="K9" s="17" t="s">
        <v>51</v>
      </c>
      <c r="L9" s="14">
        <f>_xlfn.T.INV.2T(1-L8, B13)</f>
        <v>2.0518305164802841</v>
      </c>
      <c r="M9" s="14"/>
      <c r="N9" s="14"/>
    </row>
    <row r="10" spans="1:14" ht="15" customHeight="1" thickBot="1" x14ac:dyDescent="0.25">
      <c r="A10" s="12" t="s">
        <v>52</v>
      </c>
      <c r="K10" s="13" t="s">
        <v>53</v>
      </c>
      <c r="L10" s="14">
        <f>L$9 * C17</f>
        <v>99.854506512208815</v>
      </c>
      <c r="M10" s="14"/>
      <c r="N10" s="14"/>
    </row>
    <row r="11" spans="1:14" ht="15" customHeight="1" x14ac:dyDescent="0.2">
      <c r="A11" s="20"/>
      <c r="B11" s="20" t="s">
        <v>54</v>
      </c>
      <c r="C11" s="20" t="s">
        <v>55</v>
      </c>
      <c r="D11" s="20" t="s">
        <v>56</v>
      </c>
      <c r="E11" s="20" t="s">
        <v>57</v>
      </c>
      <c r="F11" s="20" t="s">
        <v>58</v>
      </c>
      <c r="K11" s="13" t="s">
        <v>59</v>
      </c>
      <c r="L11" s="14">
        <f>L$9 * C18</f>
        <v>132.96441086635849</v>
      </c>
      <c r="M11" s="14"/>
      <c r="N11" s="14"/>
    </row>
    <row r="12" spans="1:14" ht="15" customHeight="1" x14ac:dyDescent="0.2">
      <c r="A12" s="13" t="s">
        <v>60</v>
      </c>
      <c r="B12" s="13">
        <f>B14-B13</f>
        <v>2</v>
      </c>
      <c r="C12" s="14">
        <f>L6</f>
        <v>422042.87268517166</v>
      </c>
      <c r="D12" s="14">
        <f>C12/B12</f>
        <v>211021.43634258583</v>
      </c>
      <c r="E12" s="14">
        <f>L5</f>
        <v>31.319940948967915</v>
      </c>
      <c r="F12" s="14">
        <f>_xlfn.F.DIST.RT(E12, B12, B13)</f>
        <v>9.218146259367125E-8</v>
      </c>
      <c r="K12" s="13" t="s">
        <v>61</v>
      </c>
      <c r="L12" s="14">
        <f>L$9 * C19</f>
        <v>1.3979154526377915</v>
      </c>
    </row>
    <row r="13" spans="1:14" ht="15" customHeight="1" x14ac:dyDescent="0.2">
      <c r="A13" s="13" t="s">
        <v>62</v>
      </c>
      <c r="B13" s="13">
        <f>M5</f>
        <v>27</v>
      </c>
      <c r="C13" s="14">
        <f>M6</f>
        <v>181915.37431482831</v>
      </c>
      <c r="D13" s="14">
        <f>C13/B13</f>
        <v>6737.6064561047524</v>
      </c>
      <c r="E13" s="14"/>
      <c r="F13" s="14"/>
    </row>
    <row r="14" spans="1:14" ht="15" customHeight="1" thickBot="1" x14ac:dyDescent="0.25">
      <c r="A14" s="18" t="s">
        <v>63</v>
      </c>
      <c r="B14" s="18">
        <f>B8-1</f>
        <v>29</v>
      </c>
      <c r="C14" s="21">
        <f>C12+C13</f>
        <v>603958.24699999997</v>
      </c>
      <c r="D14" s="21"/>
      <c r="E14" s="21"/>
      <c r="F14" s="21"/>
    </row>
    <row r="15" spans="1:14" ht="15" customHeight="1" thickBot="1" x14ac:dyDescent="0.25"/>
    <row r="16" spans="1:14" ht="15" customHeight="1" x14ac:dyDescent="0.2">
      <c r="A16" s="20"/>
      <c r="B16" s="20" t="s">
        <v>64</v>
      </c>
      <c r="C16" s="20" t="s">
        <v>48</v>
      </c>
      <c r="D16" s="20" t="s">
        <v>65</v>
      </c>
      <c r="E16" s="20" t="s">
        <v>66</v>
      </c>
      <c r="F16" s="20" t="str">
        <f>"Lower " &amp; TEXT(L8, "##%")</f>
        <v>Lower 95%</v>
      </c>
      <c r="G16" s="20" t="str">
        <f>"Upper " &amp; TEXT(L8, "##%")</f>
        <v>Upper 95%</v>
      </c>
      <c r="H16" s="20" t="str">
        <f t="shared" ref="H16:I17" si="0">F16</f>
        <v>Lower 95%</v>
      </c>
      <c r="I16" s="20" t="str">
        <f t="shared" si="0"/>
        <v>Upper 95%</v>
      </c>
    </row>
    <row r="17" spans="1:9" ht="15" customHeight="1" x14ac:dyDescent="0.2">
      <c r="A17" s="13" t="s">
        <v>67</v>
      </c>
      <c r="B17" s="14">
        <f>$N$2</f>
        <v>532.28826378808139</v>
      </c>
      <c r="C17" s="14">
        <f>$N$3</f>
        <v>48.66605975014911</v>
      </c>
      <c r="D17" s="14">
        <f>B17/C17</f>
        <v>10.937566478996699</v>
      </c>
      <c r="E17" s="14">
        <f>_xlfn.T.DIST.2T(ABS(D17), B$13)</f>
        <v>2.0067627695105251E-11</v>
      </c>
      <c r="F17" s="14">
        <f>B17-L10</f>
        <v>432.43375727587261</v>
      </c>
      <c r="G17" s="14">
        <f>B17+L10</f>
        <v>632.14277030029018</v>
      </c>
      <c r="H17" s="14">
        <f t="shared" si="0"/>
        <v>432.43375727587261</v>
      </c>
      <c r="I17" s="14">
        <f t="shared" si="0"/>
        <v>632.14277030029018</v>
      </c>
    </row>
    <row r="18" spans="1:9" ht="15" customHeight="1" x14ac:dyDescent="0.2">
      <c r="A18" s="13" t="str">
        <f>MRData2!B1</f>
        <v>Property Size (acres)</v>
      </c>
      <c r="B18" s="14">
        <f>$M$2</f>
        <v>407.13458708754257</v>
      </c>
      <c r="C18" s="14">
        <f>$M$3</f>
        <v>64.802823526792082</v>
      </c>
      <c r="D18" s="14">
        <f t="shared" ref="D18:D19" si="1">B18/C18</f>
        <v>6.282667404441364</v>
      </c>
      <c r="E18" s="14">
        <f t="shared" ref="E18:E19" si="2">_xlfn.T.DIST.2T(ABS(D18), B$13)</f>
        <v>1.0080278338723008E-6</v>
      </c>
      <c r="F18" s="14">
        <f t="shared" ref="F18:F19" si="3">B18-L11</f>
        <v>274.17017622118408</v>
      </c>
      <c r="G18" s="14">
        <f t="shared" ref="G18:G19" si="4">B18+L11</f>
        <v>540.09899795390106</v>
      </c>
      <c r="H18" s="14">
        <f t="shared" ref="H18:H19" si="5">F18</f>
        <v>274.17017622118408</v>
      </c>
      <c r="I18" s="14">
        <f t="shared" ref="I18:I19" si="6">G18</f>
        <v>540.09899795390106</v>
      </c>
    </row>
    <row r="19" spans="1:9" ht="15" customHeight="1" thickBot="1" x14ac:dyDescent="0.25">
      <c r="A19" s="18" t="str">
        <f>MRData2!C1</f>
        <v>Age</v>
      </c>
      <c r="B19" s="21">
        <f>$L$2</f>
        <v>-2.8257123935753574</v>
      </c>
      <c r="C19" s="21">
        <f>$L$3</f>
        <v>0.68130161892502683</v>
      </c>
      <c r="D19" s="21">
        <f t="shared" si="1"/>
        <v>-4.1475204448124323</v>
      </c>
      <c r="E19" s="21">
        <f t="shared" si="2"/>
        <v>2.9924811056498415E-4</v>
      </c>
      <c r="F19" s="21">
        <f t="shared" si="3"/>
        <v>-4.2236278462131489</v>
      </c>
      <c r="G19" s="21">
        <f t="shared" si="4"/>
        <v>-1.4277969409375659</v>
      </c>
      <c r="H19" s="21">
        <f t="shared" si="5"/>
        <v>-4.2236278462131489</v>
      </c>
      <c r="I19" s="21">
        <f t="shared" si="6"/>
        <v>-1.4277969409375659</v>
      </c>
    </row>
    <row r="20" spans="1:9" ht="15" customHeight="1" x14ac:dyDescent="0.2"/>
    <row r="21" spans="1:9" ht="15" customHeight="1" x14ac:dyDescent="0.2"/>
    <row r="22" spans="1:9" ht="15" customHeight="1" x14ac:dyDescent="0.2"/>
    <row r="23" spans="1:9" ht="15" customHeight="1" x14ac:dyDescent="0.2"/>
    <row r="24" spans="1:9" ht="15" customHeight="1" x14ac:dyDescent="0.2"/>
    <row r="25" spans="1:9" ht="15" customHeight="1" x14ac:dyDescent="0.2"/>
    <row r="26" spans="1:9" ht="15" customHeight="1" x14ac:dyDescent="0.2"/>
    <row r="27" spans="1:9" ht="15" customHeight="1" x14ac:dyDescent="0.2"/>
    <row r="28" spans="1:9" ht="15" customHeight="1" x14ac:dyDescent="0.2"/>
    <row r="29" spans="1:9" ht="15" customHeight="1" x14ac:dyDescent="0.2"/>
    <row r="30" spans="1:9" ht="15" customHeight="1" x14ac:dyDescent="0.2"/>
    <row r="31" spans="1:9" ht="15" customHeight="1" x14ac:dyDescent="0.2"/>
    <row r="32" spans="1:9" ht="15" customHeight="1" x14ac:dyDescent="0.2"/>
    <row r="33" ht="15" customHeight="1" x14ac:dyDescent="0.2"/>
  </sheetData>
  <mergeCells count="1">
    <mergeCell ref="K1:N1"/>
  </mergeCells>
  <pageMargins left="0.7" right="0.7" top="0.75" bottom="0.75" header="0.3" footer="0.3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E12E-BAFF-A642-9754-E8DFB5B2D100}">
  <dimension ref="A1:C31"/>
  <sheetViews>
    <sheetView workbookViewId="0"/>
  </sheetViews>
  <sheetFormatPr baseColWidth="10" defaultRowHeight="13" x14ac:dyDescent="0.15"/>
  <sheetData>
    <row r="1" spans="1:3" x14ac:dyDescent="0.15">
      <c r="A1" t="s">
        <v>37</v>
      </c>
      <c r="B1" t="s">
        <v>31</v>
      </c>
      <c r="C1" t="s">
        <v>2</v>
      </c>
    </row>
    <row r="2" spans="1:3" x14ac:dyDescent="0.15">
      <c r="A2">
        <v>522.9</v>
      </c>
      <c r="B2">
        <v>0.22969999999999999</v>
      </c>
      <c r="C2">
        <v>56</v>
      </c>
    </row>
    <row r="3" spans="1:3" x14ac:dyDescent="0.15">
      <c r="A3">
        <v>425</v>
      </c>
      <c r="B3">
        <v>0.21920000000000001</v>
      </c>
      <c r="C3">
        <v>61</v>
      </c>
    </row>
    <row r="4" spans="1:3" x14ac:dyDescent="0.15">
      <c r="A4">
        <v>539.20000000000005</v>
      </c>
      <c r="B4">
        <v>0.16300000000000001</v>
      </c>
      <c r="C4">
        <v>39</v>
      </c>
    </row>
    <row r="5" spans="1:3" x14ac:dyDescent="0.15">
      <c r="A5">
        <v>628.20000000000005</v>
      </c>
      <c r="B5">
        <v>0.46079999999999999</v>
      </c>
      <c r="C5">
        <v>28</v>
      </c>
    </row>
    <row r="6" spans="1:3" x14ac:dyDescent="0.15">
      <c r="A6">
        <v>490.4</v>
      </c>
      <c r="B6">
        <v>0.25490000000000002</v>
      </c>
      <c r="C6">
        <v>56</v>
      </c>
    </row>
    <row r="7" spans="1:3" x14ac:dyDescent="0.15">
      <c r="A7">
        <v>487.7</v>
      </c>
      <c r="B7">
        <v>0.22900000000000001</v>
      </c>
      <c r="C7">
        <v>98</v>
      </c>
    </row>
    <row r="8" spans="1:3" x14ac:dyDescent="0.15">
      <c r="A8">
        <v>370.3</v>
      </c>
      <c r="B8">
        <v>0.18079999999999999</v>
      </c>
      <c r="C8">
        <v>58</v>
      </c>
    </row>
    <row r="9" spans="1:3" x14ac:dyDescent="0.15">
      <c r="A9">
        <v>777.9</v>
      </c>
      <c r="B9">
        <v>0.50149999999999995</v>
      </c>
      <c r="C9">
        <v>17</v>
      </c>
    </row>
    <row r="10" spans="1:3" x14ac:dyDescent="0.15">
      <c r="A10">
        <v>347.1</v>
      </c>
      <c r="B10">
        <v>0.22289999999999999</v>
      </c>
      <c r="C10">
        <v>62</v>
      </c>
    </row>
    <row r="11" spans="1:3" x14ac:dyDescent="0.15">
      <c r="A11">
        <v>756.8</v>
      </c>
      <c r="B11">
        <v>0.13</v>
      </c>
      <c r="C11">
        <v>25</v>
      </c>
    </row>
    <row r="12" spans="1:3" x14ac:dyDescent="0.15">
      <c r="A12">
        <v>389</v>
      </c>
      <c r="B12">
        <v>0.17630000000000001</v>
      </c>
      <c r="C12">
        <v>64</v>
      </c>
    </row>
    <row r="13" spans="1:3" x14ac:dyDescent="0.15">
      <c r="A13">
        <v>889</v>
      </c>
      <c r="B13">
        <v>1.31</v>
      </c>
      <c r="C13">
        <v>62</v>
      </c>
    </row>
    <row r="14" spans="1:3" x14ac:dyDescent="0.15">
      <c r="A14">
        <v>452.2</v>
      </c>
      <c r="B14">
        <v>0.252</v>
      </c>
      <c r="C14">
        <v>56</v>
      </c>
    </row>
    <row r="15" spans="1:3" x14ac:dyDescent="0.15">
      <c r="A15">
        <v>412.4</v>
      </c>
      <c r="B15">
        <v>0.1148</v>
      </c>
      <c r="C15">
        <v>22</v>
      </c>
    </row>
    <row r="16" spans="1:3" x14ac:dyDescent="0.15">
      <c r="A16">
        <v>338.3</v>
      </c>
      <c r="B16">
        <v>0.16930000000000001</v>
      </c>
      <c r="C16">
        <v>74</v>
      </c>
    </row>
    <row r="17" spans="1:3" x14ac:dyDescent="0.15">
      <c r="A17">
        <v>334.3</v>
      </c>
      <c r="B17">
        <v>0.1714</v>
      </c>
      <c r="C17">
        <v>62</v>
      </c>
    </row>
    <row r="18" spans="1:3" x14ac:dyDescent="0.15">
      <c r="A18">
        <v>437.4</v>
      </c>
      <c r="B18">
        <v>0.38490000000000002</v>
      </c>
      <c r="C18">
        <v>54</v>
      </c>
    </row>
    <row r="19" spans="1:3" x14ac:dyDescent="0.15">
      <c r="A19">
        <v>644</v>
      </c>
      <c r="B19">
        <v>0.65449999999999997</v>
      </c>
      <c r="C19">
        <v>56</v>
      </c>
    </row>
    <row r="20" spans="1:3" x14ac:dyDescent="0.15">
      <c r="A20">
        <v>387.8</v>
      </c>
      <c r="B20">
        <v>0.17219999999999999</v>
      </c>
      <c r="C20">
        <v>62</v>
      </c>
    </row>
    <row r="21" spans="1:3" x14ac:dyDescent="0.15">
      <c r="A21">
        <v>399.8</v>
      </c>
      <c r="B21">
        <v>0.14349999999999999</v>
      </c>
      <c r="C21">
        <v>88</v>
      </c>
    </row>
    <row r="22" spans="1:3" x14ac:dyDescent="0.15">
      <c r="A22">
        <v>356.4</v>
      </c>
      <c r="B22">
        <v>0.27550000000000002</v>
      </c>
      <c r="C22">
        <v>81</v>
      </c>
    </row>
    <row r="23" spans="1:3" x14ac:dyDescent="0.15">
      <c r="A23">
        <v>346.9</v>
      </c>
      <c r="B23">
        <v>0.1148</v>
      </c>
      <c r="C23">
        <v>107</v>
      </c>
    </row>
    <row r="24" spans="1:3" x14ac:dyDescent="0.15">
      <c r="A24">
        <v>541.79999999999995</v>
      </c>
      <c r="B24">
        <v>0.36359999999999998</v>
      </c>
      <c r="C24">
        <v>55</v>
      </c>
    </row>
    <row r="25" spans="1:3" x14ac:dyDescent="0.15">
      <c r="A25">
        <v>388</v>
      </c>
      <c r="B25">
        <v>0.1474</v>
      </c>
      <c r="C25">
        <v>51</v>
      </c>
    </row>
    <row r="26" spans="1:3" x14ac:dyDescent="0.15">
      <c r="A26">
        <v>564</v>
      </c>
      <c r="B26">
        <v>0.2281</v>
      </c>
      <c r="C26">
        <v>50</v>
      </c>
    </row>
    <row r="27" spans="1:3" x14ac:dyDescent="0.15">
      <c r="A27">
        <v>454.4</v>
      </c>
      <c r="B27">
        <v>0.46260000000000001</v>
      </c>
      <c r="C27">
        <v>92</v>
      </c>
    </row>
    <row r="28" spans="1:3" x14ac:dyDescent="0.15">
      <c r="A28">
        <v>417.3</v>
      </c>
      <c r="B28">
        <v>0.18890000000000001</v>
      </c>
      <c r="C28">
        <v>64</v>
      </c>
    </row>
    <row r="29" spans="1:3" x14ac:dyDescent="0.15">
      <c r="A29">
        <v>318.8</v>
      </c>
      <c r="B29">
        <v>0.12280000000000001</v>
      </c>
      <c r="C29">
        <v>54</v>
      </c>
    </row>
    <row r="30" spans="1:3" x14ac:dyDescent="0.15">
      <c r="A30">
        <v>519.79999999999995</v>
      </c>
      <c r="B30">
        <v>0.1492</v>
      </c>
      <c r="C30">
        <v>44</v>
      </c>
    </row>
    <row r="31" spans="1:3" x14ac:dyDescent="0.15">
      <c r="A31">
        <v>310.2</v>
      </c>
      <c r="B31">
        <v>8.5199999999999998E-2</v>
      </c>
      <c r="C31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013C-D6A9-124D-9229-7DA5DB4FBA61}">
  <sheetPr codeName="Sheet37"/>
  <dimension ref="A1:N33"/>
  <sheetViews>
    <sheetView tabSelected="1" topLeftCell="A5" workbookViewId="0">
      <selection activeCell="D2" sqref="D2"/>
    </sheetView>
  </sheetViews>
  <sheetFormatPr baseColWidth="10" defaultColWidth="9.1640625" defaultRowHeight="15" x14ac:dyDescent="0.2"/>
  <cols>
    <col min="1" max="1" width="14.6640625" style="13" bestFit="1" customWidth="1"/>
    <col min="2" max="2" width="10.6640625" style="13" bestFit="1" customWidth="1"/>
    <col min="3" max="3" width="13.1640625" style="13" bestFit="1" customWidth="1"/>
    <col min="4" max="4" width="11.6640625" style="13" bestFit="1" customWidth="1"/>
    <col min="5" max="5" width="7.6640625" style="13" bestFit="1" customWidth="1"/>
    <col min="6" max="6" width="12.33203125" style="13" bestFit="1" customWidth="1"/>
    <col min="7" max="7" width="10.1640625" style="13" bestFit="1" customWidth="1"/>
    <col min="8" max="9" width="12.5" style="13" bestFit="1" customWidth="1"/>
    <col min="10" max="10" width="1.5" style="13" customWidth="1"/>
    <col min="11" max="11" width="25.1640625" style="13" customWidth="1"/>
    <col min="12" max="13" width="12" style="13" customWidth="1"/>
    <col min="14" max="14" width="9.5" style="13" bestFit="1" customWidth="1"/>
    <col min="15" max="16384" width="9.1640625" style="13"/>
  </cols>
  <sheetData>
    <row r="1" spans="1:14" ht="15" customHeight="1" thickBot="1" x14ac:dyDescent="0.25">
      <c r="A1" s="12" t="s">
        <v>68</v>
      </c>
      <c r="K1" s="36" t="s">
        <v>38</v>
      </c>
      <c r="L1" s="37"/>
      <c r="M1" s="37"/>
      <c r="N1" s="37"/>
    </row>
    <row r="2" spans="1:14" ht="15" customHeight="1" thickBot="1" x14ac:dyDescent="0.25">
      <c r="K2" s="13" t="s">
        <v>39</v>
      </c>
      <c r="L2" s="23">
        <f t="array" ref="L2:N6">LINEST(MRData!$A$2:$A$31, MRData!$B$2:$C$31,TRUE,TRUE)</f>
        <v>-2.8257123935753574</v>
      </c>
      <c r="M2" s="24">
        <v>407.13458708754257</v>
      </c>
      <c r="N2" s="26">
        <v>532.28826378808139</v>
      </c>
    </row>
    <row r="3" spans="1:14" ht="15" customHeight="1" x14ac:dyDescent="0.2">
      <c r="A3" s="15" t="s">
        <v>40</v>
      </c>
      <c r="B3" s="16"/>
      <c r="K3" s="17" t="s">
        <v>41</v>
      </c>
      <c r="L3" s="22">
        <v>0.68130161892502683</v>
      </c>
      <c r="M3" s="14">
        <v>64.802823526792082</v>
      </c>
      <c r="N3" s="27">
        <v>48.66605975014911</v>
      </c>
    </row>
    <row r="4" spans="1:14" ht="15" customHeight="1" x14ac:dyDescent="0.2">
      <c r="A4" s="13" t="s">
        <v>42</v>
      </c>
      <c r="B4" s="14">
        <f>SQRT(C12/C14)</f>
        <v>0.83593946185141632</v>
      </c>
      <c r="K4" s="13" t="s">
        <v>43</v>
      </c>
      <c r="L4" s="22">
        <v>0.69879478388043548</v>
      </c>
      <c r="M4" s="14">
        <v>82.082924266285445</v>
      </c>
      <c r="N4" s="27" t="e">
        <v>#N/A</v>
      </c>
    </row>
    <row r="5" spans="1:14" ht="15" customHeight="1" x14ac:dyDescent="0.2">
      <c r="A5" s="13" t="s">
        <v>44</v>
      </c>
      <c r="B5" s="14">
        <f>L4</f>
        <v>0.69879478388043548</v>
      </c>
      <c r="K5" s="17" t="s">
        <v>45</v>
      </c>
      <c r="L5" s="22">
        <v>31.319940948967915</v>
      </c>
      <c r="M5" s="13">
        <v>27</v>
      </c>
      <c r="N5" s="27" t="e">
        <v>#N/A</v>
      </c>
    </row>
    <row r="6" spans="1:14" ht="15" customHeight="1" thickBot="1" x14ac:dyDescent="0.25">
      <c r="A6" s="13" t="s">
        <v>46</v>
      </c>
      <c r="B6" s="14">
        <f>1-(B14/B13)*(C13/C14)</f>
        <v>0.67648328639009736</v>
      </c>
      <c r="K6" s="13" t="s">
        <v>47</v>
      </c>
      <c r="L6" s="25">
        <v>422042.87268517166</v>
      </c>
      <c r="M6" s="18">
        <v>181915.37431482831</v>
      </c>
      <c r="N6" s="28" t="e">
        <v>#N/A</v>
      </c>
    </row>
    <row r="7" spans="1:14" ht="15" customHeight="1" x14ac:dyDescent="0.2">
      <c r="A7" s="13" t="s">
        <v>48</v>
      </c>
      <c r="B7" s="14">
        <f>M4</f>
        <v>82.082924266285445</v>
      </c>
      <c r="L7" s="14"/>
      <c r="M7" s="14"/>
      <c r="N7" s="14"/>
    </row>
    <row r="8" spans="1:14" ht="15" customHeight="1" thickBot="1" x14ac:dyDescent="0.25">
      <c r="A8" s="18" t="s">
        <v>49</v>
      </c>
      <c r="B8" s="18">
        <f>COUNT(MRData!$A$2:$A$31)</f>
        <v>30</v>
      </c>
      <c r="K8" s="13" t="s">
        <v>50</v>
      </c>
      <c r="L8" s="19">
        <v>0.95</v>
      </c>
      <c r="M8" s="14"/>
      <c r="N8" s="14"/>
    </row>
    <row r="9" spans="1:14" ht="15" customHeight="1" x14ac:dyDescent="0.2">
      <c r="K9" s="17" t="s">
        <v>51</v>
      </c>
      <c r="L9" s="14">
        <f>_xlfn.T.INV.2T(1-L8, B13)</f>
        <v>2.0518305164802841</v>
      </c>
      <c r="M9" s="14"/>
      <c r="N9" s="14"/>
    </row>
    <row r="10" spans="1:14" ht="15" customHeight="1" thickBot="1" x14ac:dyDescent="0.25">
      <c r="A10" s="12" t="s">
        <v>52</v>
      </c>
      <c r="K10" s="13" t="s">
        <v>53</v>
      </c>
      <c r="L10" s="14">
        <f>L$9 * C17</f>
        <v>99.854506512208815</v>
      </c>
      <c r="M10" s="14"/>
      <c r="N10" s="14"/>
    </row>
    <row r="11" spans="1:14" ht="15" customHeight="1" x14ac:dyDescent="0.2">
      <c r="A11" s="20"/>
      <c r="B11" s="20" t="s">
        <v>54</v>
      </c>
      <c r="C11" s="20" t="s">
        <v>55</v>
      </c>
      <c r="D11" s="20" t="s">
        <v>56</v>
      </c>
      <c r="E11" s="20" t="s">
        <v>57</v>
      </c>
      <c r="F11" s="20" t="s">
        <v>58</v>
      </c>
      <c r="K11" s="13" t="s">
        <v>59</v>
      </c>
      <c r="L11" s="14">
        <f>L$9 * C18</f>
        <v>132.96441086635849</v>
      </c>
      <c r="M11" s="14"/>
      <c r="N11" s="14"/>
    </row>
    <row r="12" spans="1:14" ht="15" customHeight="1" x14ac:dyDescent="0.2">
      <c r="A12" s="13" t="s">
        <v>60</v>
      </c>
      <c r="B12" s="13">
        <f>B14-B13</f>
        <v>2</v>
      </c>
      <c r="C12" s="14">
        <f>L6</f>
        <v>422042.87268517166</v>
      </c>
      <c r="D12" s="14">
        <f>C12/B12</f>
        <v>211021.43634258583</v>
      </c>
      <c r="E12" s="14">
        <f>L5</f>
        <v>31.319940948967915</v>
      </c>
      <c r="F12" s="14">
        <f>_xlfn.F.DIST.RT(E12, B12, B13)</f>
        <v>9.218146259367125E-8</v>
      </c>
      <c r="K12" s="13" t="s">
        <v>61</v>
      </c>
      <c r="L12" s="14">
        <f>L$9 * C19</f>
        <v>1.3979154526377915</v>
      </c>
    </row>
    <row r="13" spans="1:14" ht="15" customHeight="1" x14ac:dyDescent="0.2">
      <c r="A13" s="13" t="s">
        <v>62</v>
      </c>
      <c r="B13" s="13">
        <f>M5</f>
        <v>27</v>
      </c>
      <c r="C13" s="14">
        <f>M6</f>
        <v>181915.37431482831</v>
      </c>
      <c r="D13" s="14">
        <f>C13/B13</f>
        <v>6737.6064561047524</v>
      </c>
      <c r="E13" s="14"/>
      <c r="F13" s="14"/>
    </row>
    <row r="14" spans="1:14" ht="15" customHeight="1" thickBot="1" x14ac:dyDescent="0.25">
      <c r="A14" s="18" t="s">
        <v>63</v>
      </c>
      <c r="B14" s="18">
        <f>B8-1</f>
        <v>29</v>
      </c>
      <c r="C14" s="21">
        <f>C12+C13</f>
        <v>603958.24699999997</v>
      </c>
      <c r="D14" s="21"/>
      <c r="E14" s="21"/>
      <c r="F14" s="21"/>
    </row>
    <row r="15" spans="1:14" ht="15" customHeight="1" thickBot="1" x14ac:dyDescent="0.25"/>
    <row r="16" spans="1:14" ht="15" customHeight="1" x14ac:dyDescent="0.2">
      <c r="A16" s="20"/>
      <c r="B16" s="20" t="s">
        <v>64</v>
      </c>
      <c r="C16" s="20" t="s">
        <v>48</v>
      </c>
      <c r="D16" s="20" t="s">
        <v>65</v>
      </c>
      <c r="E16" s="20" t="s">
        <v>66</v>
      </c>
      <c r="F16" s="20" t="str">
        <f>"Lower " &amp; TEXT(L8, "##%")</f>
        <v>Lower 95%</v>
      </c>
      <c r="G16" s="20" t="str">
        <f>"Upper " &amp; TEXT(L8, "##%")</f>
        <v>Upper 95%</v>
      </c>
      <c r="H16" s="20" t="str">
        <f t="shared" ref="H16:I17" si="0">F16</f>
        <v>Lower 95%</v>
      </c>
      <c r="I16" s="20" t="str">
        <f t="shared" si="0"/>
        <v>Upper 95%</v>
      </c>
    </row>
    <row r="17" spans="1:9" ht="15" customHeight="1" x14ac:dyDescent="0.2">
      <c r="A17" s="13" t="s">
        <v>67</v>
      </c>
      <c r="B17" s="14">
        <f>$N$2</f>
        <v>532.28826378808139</v>
      </c>
      <c r="C17" s="14">
        <f>$N$3</f>
        <v>48.66605975014911</v>
      </c>
      <c r="D17" s="14">
        <f>B17/C17</f>
        <v>10.937566478996699</v>
      </c>
      <c r="E17" s="14">
        <f>_xlfn.T.DIST.2T(ABS(D17), B$13)</f>
        <v>2.0067627695105251E-11</v>
      </c>
      <c r="F17" s="14">
        <f>B17-L10</f>
        <v>432.43375727587261</v>
      </c>
      <c r="G17" s="14">
        <f>B17+L10</f>
        <v>632.14277030029018</v>
      </c>
      <c r="H17" s="14">
        <f t="shared" si="0"/>
        <v>432.43375727587261</v>
      </c>
      <c r="I17" s="14">
        <f t="shared" si="0"/>
        <v>632.14277030029018</v>
      </c>
    </row>
    <row r="18" spans="1:9" ht="15" customHeight="1" x14ac:dyDescent="0.2">
      <c r="A18" s="13" t="str">
        <f>MRData!B1</f>
        <v>Property Size (acres)</v>
      </c>
      <c r="B18" s="14">
        <f>$M$2</f>
        <v>407.13458708754257</v>
      </c>
      <c r="C18" s="14">
        <f>$M$3</f>
        <v>64.802823526792082</v>
      </c>
      <c r="D18" s="14">
        <f t="shared" ref="D18:D19" si="1">B18/C18</f>
        <v>6.282667404441364</v>
      </c>
      <c r="E18" s="14">
        <f t="shared" ref="E18:E19" si="2">_xlfn.T.DIST.2T(ABS(D18), B$13)</f>
        <v>1.0080278338723008E-6</v>
      </c>
      <c r="F18" s="14">
        <f t="shared" ref="F18:F19" si="3">B18-L11</f>
        <v>274.17017622118408</v>
      </c>
      <c r="G18" s="14">
        <f t="shared" ref="G18:G19" si="4">B18+L11</f>
        <v>540.09899795390106</v>
      </c>
      <c r="H18" s="14">
        <f t="shared" ref="H18:H19" si="5">F18</f>
        <v>274.17017622118408</v>
      </c>
      <c r="I18" s="14">
        <f t="shared" ref="I18:I19" si="6">G18</f>
        <v>540.09899795390106</v>
      </c>
    </row>
    <row r="19" spans="1:9" ht="15" customHeight="1" thickBot="1" x14ac:dyDescent="0.25">
      <c r="A19" s="18" t="str">
        <f>MRData!C1</f>
        <v>Age</v>
      </c>
      <c r="B19" s="21">
        <f>$L$2</f>
        <v>-2.8257123935753574</v>
      </c>
      <c r="C19" s="21">
        <f>$L$3</f>
        <v>0.68130161892502683</v>
      </c>
      <c r="D19" s="21">
        <f t="shared" si="1"/>
        <v>-4.1475204448124323</v>
      </c>
      <c r="E19" s="21">
        <f t="shared" si="2"/>
        <v>2.9924811056498415E-4</v>
      </c>
      <c r="F19" s="21">
        <f t="shared" si="3"/>
        <v>-4.2236278462131489</v>
      </c>
      <c r="G19" s="21">
        <f t="shared" si="4"/>
        <v>-1.4277969409375659</v>
      </c>
      <c r="H19" s="21">
        <f t="shared" si="5"/>
        <v>-4.2236278462131489</v>
      </c>
      <c r="I19" s="21">
        <f t="shared" si="6"/>
        <v>-1.4277969409375659</v>
      </c>
    </row>
    <row r="20" spans="1:9" ht="15" customHeight="1" x14ac:dyDescent="0.2"/>
    <row r="21" spans="1:9" ht="15" customHeight="1" x14ac:dyDescent="0.2"/>
    <row r="22" spans="1:9" ht="15" customHeight="1" x14ac:dyDescent="0.2"/>
    <row r="23" spans="1:9" ht="15" customHeight="1" x14ac:dyDescent="0.2"/>
    <row r="24" spans="1:9" ht="15" customHeight="1" x14ac:dyDescent="0.2"/>
    <row r="25" spans="1:9" ht="15" customHeight="1" x14ac:dyDescent="0.2"/>
    <row r="26" spans="1:9" ht="15" customHeight="1" x14ac:dyDescent="0.2"/>
    <row r="27" spans="1:9" ht="15" customHeight="1" x14ac:dyDescent="0.2"/>
    <row r="28" spans="1:9" ht="15" customHeight="1" x14ac:dyDescent="0.2"/>
    <row r="29" spans="1:9" ht="15" customHeight="1" x14ac:dyDescent="0.2"/>
    <row r="30" spans="1:9" ht="15" customHeight="1" x14ac:dyDescent="0.2"/>
    <row r="31" spans="1:9" ht="15" customHeight="1" x14ac:dyDescent="0.2"/>
    <row r="32" spans="1:9" ht="15" customHeight="1" x14ac:dyDescent="0.2"/>
    <row r="33" ht="15" customHeight="1" x14ac:dyDescent="0.2"/>
  </sheetData>
  <mergeCells count="1">
    <mergeCell ref="K1:N1"/>
  </mergeCells>
  <pageMargins left="0.7" right="0.7" top="0.75" bottom="0.75" header="0.3" footer="0.3"/>
  <pageSetup orientation="portrait" horizontalDpi="0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C7CC-A5F1-9C44-8242-8FE075E386E6}">
  <dimension ref="A1:F31"/>
  <sheetViews>
    <sheetView workbookViewId="0"/>
  </sheetViews>
  <sheetFormatPr baseColWidth="10" defaultRowHeight="13" x14ac:dyDescent="0.15"/>
  <cols>
    <col min="1" max="1" width="10.5" bestFit="1" customWidth="1"/>
    <col min="2" max="2" width="17.33203125" bestFit="1" customWidth="1"/>
    <col min="3" max="3" width="4.33203125" bestFit="1" customWidth="1"/>
    <col min="4" max="4" width="28.5" bestFit="1" customWidth="1"/>
    <col min="5" max="5" width="20.33203125" bestFit="1" customWidth="1"/>
  </cols>
  <sheetData>
    <row r="1" spans="1:6" x14ac:dyDescent="0.15">
      <c r="A1" t="s">
        <v>69</v>
      </c>
      <c r="B1" t="s">
        <v>31</v>
      </c>
      <c r="C1" t="s">
        <v>2</v>
      </c>
      <c r="D1" t="s">
        <v>70</v>
      </c>
      <c r="E1" t="s">
        <v>37</v>
      </c>
      <c r="F1" t="s">
        <v>62</v>
      </c>
    </row>
    <row r="2" spans="1:6" x14ac:dyDescent="0.15">
      <c r="A2">
        <v>1</v>
      </c>
      <c r="B2">
        <v>0.22969999999999999</v>
      </c>
      <c r="C2">
        <v>56</v>
      </c>
      <c r="D2">
        <f>COMPUTE!$B$18 * B2 + COMPUTE!$B$19 * C2 + COMPUTE!$B$17</f>
        <v>467.56718440186989</v>
      </c>
      <c r="E2">
        <v>522.9</v>
      </c>
      <c r="F2">
        <f>E2 - D2</f>
        <v>55.332815598130082</v>
      </c>
    </row>
    <row r="3" spans="1:6" x14ac:dyDescent="0.15">
      <c r="A3">
        <v>2</v>
      </c>
      <c r="B3">
        <v>0.21920000000000001</v>
      </c>
      <c r="C3">
        <v>61</v>
      </c>
      <c r="D3">
        <f>COMPUTE!$B$18 * B3 + COMPUTE!$B$19 * C3 + COMPUTE!$B$17</f>
        <v>449.16370926957393</v>
      </c>
      <c r="E3">
        <v>425</v>
      </c>
      <c r="F3">
        <f t="shared" ref="F3:F31" si="0">E3 - D3</f>
        <v>-24.163709269573928</v>
      </c>
    </row>
    <row r="4" spans="1:6" x14ac:dyDescent="0.15">
      <c r="A4">
        <v>3</v>
      </c>
      <c r="B4">
        <v>0.16300000000000001</v>
      </c>
      <c r="C4">
        <v>39</v>
      </c>
      <c r="D4">
        <f>COMPUTE!$B$18 * B4 + COMPUTE!$B$19 * C4 + COMPUTE!$B$17</f>
        <v>488.4484181339119</v>
      </c>
      <c r="E4">
        <v>539.20000000000005</v>
      </c>
      <c r="F4">
        <f t="shared" si="0"/>
        <v>50.751581866088145</v>
      </c>
    </row>
    <row r="5" spans="1:6" x14ac:dyDescent="0.15">
      <c r="A5">
        <v>4</v>
      </c>
      <c r="B5">
        <v>0.46079999999999999</v>
      </c>
      <c r="C5">
        <v>28</v>
      </c>
      <c r="D5">
        <f>COMPUTE!$B$18 * B5 + COMPUTE!$B$19 * C5 + COMPUTE!$B$17</f>
        <v>640.77593449791107</v>
      </c>
      <c r="E5">
        <v>628.20000000000005</v>
      </c>
      <c r="F5">
        <f t="shared" si="0"/>
        <v>-12.575934497911021</v>
      </c>
    </row>
    <row r="6" spans="1:6" x14ac:dyDescent="0.15">
      <c r="A6">
        <v>5</v>
      </c>
      <c r="B6">
        <v>0.25490000000000002</v>
      </c>
      <c r="C6">
        <v>56</v>
      </c>
      <c r="D6">
        <f>COMPUTE!$B$18 * B6 + COMPUTE!$B$19 * C6 + COMPUTE!$B$17</f>
        <v>477.82697599647599</v>
      </c>
      <c r="E6">
        <v>490.4</v>
      </c>
      <c r="F6">
        <f t="shared" si="0"/>
        <v>12.573024003523983</v>
      </c>
    </row>
    <row r="7" spans="1:6" x14ac:dyDescent="0.15">
      <c r="A7">
        <v>6</v>
      </c>
      <c r="B7">
        <v>0.22900000000000001</v>
      </c>
      <c r="C7">
        <v>98</v>
      </c>
      <c r="D7">
        <f>COMPUTE!$B$18 * B7 + COMPUTE!$B$19 * C7 + COMPUTE!$B$17</f>
        <v>348.60226966074362</v>
      </c>
      <c r="E7">
        <v>487.7</v>
      </c>
      <c r="F7">
        <f t="shared" si="0"/>
        <v>139.09773033925637</v>
      </c>
    </row>
    <row r="8" spans="1:6" x14ac:dyDescent="0.15">
      <c r="A8">
        <v>7</v>
      </c>
      <c r="B8">
        <v>0.18079999999999999</v>
      </c>
      <c r="C8">
        <v>58</v>
      </c>
      <c r="D8">
        <f>COMPUTE!$B$18 * B8 + COMPUTE!$B$19 * C8 + COMPUTE!$B$17</f>
        <v>442.00687830613833</v>
      </c>
      <c r="E8">
        <v>370.3</v>
      </c>
      <c r="F8">
        <f t="shared" si="0"/>
        <v>-71.706878306138321</v>
      </c>
    </row>
    <row r="9" spans="1:6" x14ac:dyDescent="0.15">
      <c r="A9">
        <v>8</v>
      </c>
      <c r="B9">
        <v>0.50149999999999995</v>
      </c>
      <c r="C9">
        <v>17</v>
      </c>
      <c r="D9">
        <f>COMPUTE!$B$18 * B9 + COMPUTE!$B$19 * C9 + COMPUTE!$B$17</f>
        <v>688.42914852170293</v>
      </c>
      <c r="E9">
        <v>777.9</v>
      </c>
      <c r="F9">
        <f t="shared" si="0"/>
        <v>89.47085147829705</v>
      </c>
    </row>
    <row r="10" spans="1:6" x14ac:dyDescent="0.15">
      <c r="A10">
        <v>9</v>
      </c>
      <c r="B10">
        <v>0.22289999999999999</v>
      </c>
      <c r="C10">
        <v>62</v>
      </c>
      <c r="D10">
        <f>COMPUTE!$B$18 * B10 + COMPUTE!$B$19 * C10 + COMPUTE!$B$17</f>
        <v>447.84439484822246</v>
      </c>
      <c r="E10">
        <v>347.1</v>
      </c>
      <c r="F10">
        <f t="shared" si="0"/>
        <v>-100.74439484822244</v>
      </c>
    </row>
    <row r="11" spans="1:6" x14ac:dyDescent="0.15">
      <c r="A11">
        <v>10</v>
      </c>
      <c r="B11">
        <v>0.13</v>
      </c>
      <c r="C11">
        <v>25</v>
      </c>
      <c r="D11">
        <f>COMPUTE!$B$18 * B11 + COMPUTE!$B$19 * C11 + COMPUTE!$B$17</f>
        <v>514.57295027007797</v>
      </c>
      <c r="E11">
        <v>756.8</v>
      </c>
      <c r="F11">
        <f t="shared" si="0"/>
        <v>242.22704972992199</v>
      </c>
    </row>
    <row r="12" spans="1:6" x14ac:dyDescent="0.15">
      <c r="A12">
        <v>11</v>
      </c>
      <c r="B12">
        <v>0.17630000000000001</v>
      </c>
      <c r="C12">
        <v>64</v>
      </c>
      <c r="D12">
        <f>COMPUTE!$B$18 * B12 + COMPUTE!$B$19 * C12 + COMPUTE!$B$17</f>
        <v>423.22049830279229</v>
      </c>
      <c r="E12">
        <v>389</v>
      </c>
      <c r="F12">
        <f t="shared" si="0"/>
        <v>-34.220498302792294</v>
      </c>
    </row>
    <row r="13" spans="1:6" x14ac:dyDescent="0.15">
      <c r="A13">
        <v>12</v>
      </c>
      <c r="B13">
        <v>1.31</v>
      </c>
      <c r="C13">
        <v>62</v>
      </c>
      <c r="D13">
        <f>COMPUTE!$B$18 * B13 + COMPUTE!$B$19 * C13 + COMPUTE!$B$17</f>
        <v>890.44040447109001</v>
      </c>
      <c r="E13">
        <v>889</v>
      </c>
      <c r="F13">
        <f t="shared" si="0"/>
        <v>-1.4404044710900052</v>
      </c>
    </row>
    <row r="14" spans="1:6" x14ac:dyDescent="0.15">
      <c r="A14">
        <v>13</v>
      </c>
      <c r="B14">
        <v>0.252</v>
      </c>
      <c r="C14">
        <v>56</v>
      </c>
      <c r="D14">
        <f>COMPUTE!$B$18 * B14 + COMPUTE!$B$19 * C14 + COMPUTE!$B$17</f>
        <v>476.6462856939221</v>
      </c>
      <c r="E14">
        <v>452.2</v>
      </c>
      <c r="F14">
        <f t="shared" si="0"/>
        <v>-24.446285693922107</v>
      </c>
    </row>
    <row r="15" spans="1:6" x14ac:dyDescent="0.15">
      <c r="A15">
        <v>14</v>
      </c>
      <c r="B15">
        <v>0.1148</v>
      </c>
      <c r="C15">
        <v>22</v>
      </c>
      <c r="D15">
        <f>COMPUTE!$B$18 * B15 + COMPUTE!$B$19 * C15 + COMPUTE!$B$17</f>
        <v>516.86164172707345</v>
      </c>
      <c r="E15">
        <v>412.4</v>
      </c>
      <c r="F15">
        <f t="shared" si="0"/>
        <v>-104.46164172707347</v>
      </c>
    </row>
    <row r="16" spans="1:6" x14ac:dyDescent="0.15">
      <c r="A16">
        <v>15</v>
      </c>
      <c r="B16">
        <v>0.16930000000000001</v>
      </c>
      <c r="C16">
        <v>74</v>
      </c>
      <c r="D16">
        <f>COMPUTE!$B$18 * B16 + COMPUTE!$B$19 * C16 + COMPUTE!$B$17</f>
        <v>392.11343225742587</v>
      </c>
      <c r="E16">
        <v>338.3</v>
      </c>
      <c r="F16">
        <f t="shared" si="0"/>
        <v>-53.813432257425859</v>
      </c>
    </row>
    <row r="17" spans="1:6" x14ac:dyDescent="0.15">
      <c r="A17">
        <v>16</v>
      </c>
      <c r="B17">
        <v>0.1714</v>
      </c>
      <c r="C17">
        <v>62</v>
      </c>
      <c r="D17">
        <f>COMPUTE!$B$18 * B17 + COMPUTE!$B$19 * C17 + COMPUTE!$B$17</f>
        <v>426.876963613214</v>
      </c>
      <c r="E17">
        <v>334.3</v>
      </c>
      <c r="F17">
        <f t="shared" si="0"/>
        <v>-92.576963613213991</v>
      </c>
    </row>
    <row r="18" spans="1:6" x14ac:dyDescent="0.15">
      <c r="A18">
        <v>17</v>
      </c>
      <c r="B18">
        <v>0.38490000000000002</v>
      </c>
      <c r="C18">
        <v>54</v>
      </c>
      <c r="D18">
        <f>COMPUTE!$B$18 * B18 + COMPUTE!$B$19 * C18 + COMPUTE!$B$17</f>
        <v>536.40589710500728</v>
      </c>
      <c r="E18">
        <v>437.4</v>
      </c>
      <c r="F18">
        <f t="shared" si="0"/>
        <v>-99.005897105007307</v>
      </c>
    </row>
    <row r="19" spans="1:6" x14ac:dyDescent="0.15">
      <c r="A19">
        <v>18</v>
      </c>
      <c r="B19">
        <v>0.65449999999999997</v>
      </c>
      <c r="C19">
        <v>56</v>
      </c>
      <c r="D19">
        <f>COMPUTE!$B$18 * B19 + COMPUTE!$B$19 * C19 + COMPUTE!$B$17</f>
        <v>640.51795699665797</v>
      </c>
      <c r="E19">
        <v>644</v>
      </c>
      <c r="F19">
        <f t="shared" si="0"/>
        <v>3.482043003342028</v>
      </c>
    </row>
    <row r="20" spans="1:6" x14ac:dyDescent="0.15">
      <c r="A20">
        <v>19</v>
      </c>
      <c r="B20">
        <v>0.17219999999999999</v>
      </c>
      <c r="C20">
        <v>62</v>
      </c>
      <c r="D20">
        <f>COMPUTE!$B$18 * B20 + COMPUTE!$B$19 * C20 + COMPUTE!$B$17</f>
        <v>427.20267128288407</v>
      </c>
      <c r="E20">
        <v>387.8</v>
      </c>
      <c r="F20">
        <f t="shared" si="0"/>
        <v>-39.402671282884057</v>
      </c>
    </row>
    <row r="21" spans="1:6" x14ac:dyDescent="0.15">
      <c r="A21">
        <v>20</v>
      </c>
      <c r="B21">
        <v>0.14349999999999999</v>
      </c>
      <c r="C21">
        <v>88</v>
      </c>
      <c r="D21">
        <f>COMPUTE!$B$18 * B21 + COMPUTE!$B$19 * C21 + COMPUTE!$B$17</f>
        <v>342.04938640051228</v>
      </c>
      <c r="E21">
        <v>399.8</v>
      </c>
      <c r="F21">
        <f t="shared" si="0"/>
        <v>57.750613599487735</v>
      </c>
    </row>
    <row r="22" spans="1:6" x14ac:dyDescent="0.15">
      <c r="A22">
        <v>21</v>
      </c>
      <c r="B22">
        <v>0.27550000000000002</v>
      </c>
      <c r="C22">
        <v>81</v>
      </c>
      <c r="D22">
        <f>COMPUTE!$B$18 * B22 + COMPUTE!$B$19 * C22 + COMPUTE!$B$17</f>
        <v>415.57113865109545</v>
      </c>
      <c r="E22">
        <v>356.4</v>
      </c>
      <c r="F22">
        <f t="shared" si="0"/>
        <v>-59.171138651095475</v>
      </c>
    </row>
    <row r="23" spans="1:6" x14ac:dyDescent="0.15">
      <c r="A23">
        <v>22</v>
      </c>
      <c r="B23">
        <v>0.1148</v>
      </c>
      <c r="C23">
        <v>107</v>
      </c>
      <c r="D23">
        <f>COMPUTE!$B$18 * B23 + COMPUTE!$B$19 * C23 + COMPUTE!$B$17</f>
        <v>276.67608827316803</v>
      </c>
      <c r="E23">
        <v>346.9</v>
      </c>
      <c r="F23">
        <f t="shared" si="0"/>
        <v>70.223911726831943</v>
      </c>
    </row>
    <row r="24" spans="1:6" x14ac:dyDescent="0.15">
      <c r="A24">
        <v>23</v>
      </c>
      <c r="B24">
        <v>0.36359999999999998</v>
      </c>
      <c r="C24">
        <v>55</v>
      </c>
      <c r="D24">
        <f>COMPUTE!$B$18 * B24 + COMPUTE!$B$19 * C24 + COMPUTE!$B$17</f>
        <v>524.90821800646722</v>
      </c>
      <c r="E24">
        <v>541.79999999999995</v>
      </c>
      <c r="F24">
        <f t="shared" si="0"/>
        <v>16.891781993532732</v>
      </c>
    </row>
    <row r="25" spans="1:6" x14ac:dyDescent="0.15">
      <c r="A25">
        <v>24</v>
      </c>
      <c r="B25">
        <v>0.1474</v>
      </c>
      <c r="C25">
        <v>51</v>
      </c>
      <c r="D25">
        <f>COMPUTE!$B$18 * B25 + COMPUTE!$B$19 * C25 + COMPUTE!$B$17</f>
        <v>448.1885698524419</v>
      </c>
      <c r="E25">
        <v>388</v>
      </c>
      <c r="F25">
        <f t="shared" si="0"/>
        <v>-60.188569852441901</v>
      </c>
    </row>
    <row r="26" spans="1:6" x14ac:dyDescent="0.15">
      <c r="A26">
        <v>25</v>
      </c>
      <c r="B26">
        <v>0.2281</v>
      </c>
      <c r="C26">
        <v>50</v>
      </c>
      <c r="D26">
        <f>COMPUTE!$B$18 * B26 + COMPUTE!$B$19 * C26 + COMPUTE!$B$17</f>
        <v>483.870043423982</v>
      </c>
      <c r="E26">
        <v>564</v>
      </c>
      <c r="F26">
        <f t="shared" si="0"/>
        <v>80.129956576018003</v>
      </c>
    </row>
    <row r="27" spans="1:6" x14ac:dyDescent="0.15">
      <c r="A27">
        <v>26</v>
      </c>
      <c r="B27">
        <v>0.46260000000000001</v>
      </c>
      <c r="C27">
        <v>92</v>
      </c>
      <c r="D27">
        <f>COMPUTE!$B$18 * B27 + COMPUTE!$B$19 * C27 + COMPUTE!$B$17</f>
        <v>460.66318356584566</v>
      </c>
      <c r="E27">
        <v>454.4</v>
      </c>
      <c r="F27">
        <f t="shared" si="0"/>
        <v>-6.2631835658456794</v>
      </c>
    </row>
    <row r="28" spans="1:6" x14ac:dyDescent="0.15">
      <c r="A28">
        <v>27</v>
      </c>
      <c r="B28">
        <v>0.18890000000000001</v>
      </c>
      <c r="C28">
        <v>64</v>
      </c>
      <c r="D28">
        <f>COMPUTE!$B$18 * B28 + COMPUTE!$B$19 * C28 + COMPUTE!$B$17</f>
        <v>428.35039410009529</v>
      </c>
      <c r="E28">
        <v>417.3</v>
      </c>
      <c r="F28">
        <f t="shared" si="0"/>
        <v>-11.050394100095275</v>
      </c>
    </row>
    <row r="29" spans="1:6" x14ac:dyDescent="0.15">
      <c r="A29">
        <v>28</v>
      </c>
      <c r="B29">
        <v>0.12280000000000001</v>
      </c>
      <c r="C29">
        <v>54</v>
      </c>
      <c r="D29">
        <f>COMPUTE!$B$18 * B29 + COMPUTE!$B$19 * C29 + COMPUTE!$B$17</f>
        <v>429.69592182936231</v>
      </c>
      <c r="E29">
        <v>318.8</v>
      </c>
      <c r="F29">
        <f t="shared" si="0"/>
        <v>-110.89592182936229</v>
      </c>
    </row>
    <row r="30" spans="1:6" x14ac:dyDescent="0.15">
      <c r="A30">
        <v>29</v>
      </c>
      <c r="B30">
        <v>0.1492</v>
      </c>
      <c r="C30">
        <v>44</v>
      </c>
      <c r="D30">
        <f>COMPUTE!$B$18 * B30 + COMPUTE!$B$19 * C30 + COMPUTE!$B$17</f>
        <v>468.70139886422703</v>
      </c>
      <c r="E30">
        <v>519.79999999999995</v>
      </c>
      <c r="F30">
        <f t="shared" si="0"/>
        <v>51.098601135772924</v>
      </c>
    </row>
    <row r="31" spans="1:6" x14ac:dyDescent="0.15">
      <c r="A31">
        <v>30</v>
      </c>
      <c r="B31">
        <v>8.5199999999999998E-2</v>
      </c>
      <c r="C31">
        <v>104</v>
      </c>
      <c r="D31">
        <f>COMPUTE!$B$18 * B31 + COMPUTE!$B$19 * C31 + COMPUTE!$B$17</f>
        <v>273.10204167610289</v>
      </c>
      <c r="E31">
        <v>310.2</v>
      </c>
      <c r="F31">
        <f t="shared" si="0"/>
        <v>37.097958323897103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zoomScaleNormal="100" workbookViewId="0"/>
  </sheetViews>
  <sheetFormatPr baseColWidth="10" defaultColWidth="8.83203125" defaultRowHeight="15" x14ac:dyDescent="0.2"/>
  <cols>
    <col min="1" max="1" width="19.6640625" style="4" customWidth="1"/>
    <col min="2" max="2" width="12.33203125" style="5" customWidth="1"/>
    <col min="3" max="3" width="11.33203125" style="6" customWidth="1"/>
    <col min="4" max="4" width="4.33203125" style="4" bestFit="1" customWidth="1"/>
    <col min="5" max="5" width="13.5" style="4" customWidth="1"/>
    <col min="6" max="16384" width="8.83203125" style="4"/>
  </cols>
  <sheetData>
    <row r="1" spans="1:8" s="3" customFormat="1" ht="30" customHeight="1" x14ac:dyDescent="0.2">
      <c r="A1" s="1" t="s">
        <v>0</v>
      </c>
      <c r="B1" s="10" t="s">
        <v>37</v>
      </c>
      <c r="C1" s="2" t="s">
        <v>31</v>
      </c>
      <c r="D1" s="1" t="s">
        <v>2</v>
      </c>
      <c r="E1" s="10" t="s">
        <v>33</v>
      </c>
      <c r="F1" s="10" t="s">
        <v>34</v>
      </c>
      <c r="G1" s="10" t="s">
        <v>35</v>
      </c>
      <c r="H1" s="10" t="s">
        <v>36</v>
      </c>
    </row>
    <row r="2" spans="1:8" x14ac:dyDescent="0.2">
      <c r="A2" s="4" t="s">
        <v>1</v>
      </c>
      <c r="B2" s="11">
        <v>522.9</v>
      </c>
      <c r="C2" s="6">
        <v>0.22969999999999999</v>
      </c>
      <c r="D2" s="4">
        <v>56</v>
      </c>
      <c r="E2" s="4">
        <v>2448</v>
      </c>
      <c r="F2" s="4">
        <v>7</v>
      </c>
      <c r="G2" s="4">
        <v>3.5</v>
      </c>
      <c r="H2" s="4">
        <v>2</v>
      </c>
    </row>
    <row r="3" spans="1:8" x14ac:dyDescent="0.2">
      <c r="A3" s="4" t="s">
        <v>3</v>
      </c>
      <c r="B3" s="5">
        <v>425</v>
      </c>
      <c r="C3" s="6">
        <v>0.21920000000000001</v>
      </c>
      <c r="D3" s="4">
        <v>61</v>
      </c>
      <c r="E3" s="4">
        <v>1942</v>
      </c>
      <c r="F3" s="4">
        <v>7</v>
      </c>
      <c r="G3" s="4">
        <v>2.5</v>
      </c>
      <c r="H3" s="4">
        <v>1</v>
      </c>
    </row>
    <row r="4" spans="1:8" x14ac:dyDescent="0.2">
      <c r="A4" s="4" t="s">
        <v>4</v>
      </c>
      <c r="B4" s="5">
        <v>539.20000000000005</v>
      </c>
      <c r="C4" s="6">
        <v>0.16300000000000001</v>
      </c>
      <c r="D4" s="4">
        <v>39</v>
      </c>
      <c r="E4" s="4">
        <v>2073</v>
      </c>
      <c r="F4" s="4">
        <v>5</v>
      </c>
      <c r="G4" s="4">
        <v>3</v>
      </c>
      <c r="H4" s="4">
        <v>2</v>
      </c>
    </row>
    <row r="5" spans="1:8" x14ac:dyDescent="0.2">
      <c r="A5" s="4" t="s">
        <v>5</v>
      </c>
      <c r="B5" s="5">
        <v>628.20000000000005</v>
      </c>
      <c r="C5" s="6">
        <v>0.46079999999999999</v>
      </c>
      <c r="D5" s="4">
        <v>28</v>
      </c>
      <c r="E5" s="4">
        <v>2707</v>
      </c>
      <c r="F5" s="4">
        <v>8</v>
      </c>
      <c r="G5" s="4">
        <v>2.5</v>
      </c>
      <c r="H5" s="4">
        <v>1</v>
      </c>
    </row>
    <row r="6" spans="1:8" x14ac:dyDescent="0.2">
      <c r="A6" s="4" t="s">
        <v>30</v>
      </c>
      <c r="B6" s="5">
        <v>490.4</v>
      </c>
      <c r="C6" s="6">
        <v>0.25490000000000002</v>
      </c>
      <c r="D6" s="4">
        <v>56</v>
      </c>
      <c r="E6" s="4">
        <v>2042</v>
      </c>
      <c r="F6" s="4">
        <v>7</v>
      </c>
      <c r="G6" s="4">
        <v>1.5</v>
      </c>
      <c r="H6" s="4">
        <v>1</v>
      </c>
    </row>
    <row r="7" spans="1:8" x14ac:dyDescent="0.2">
      <c r="A7" s="4" t="s">
        <v>6</v>
      </c>
      <c r="B7" s="5">
        <v>487.7</v>
      </c>
      <c r="C7" s="6">
        <v>0.22900000000000001</v>
      </c>
      <c r="D7" s="4">
        <v>98</v>
      </c>
      <c r="E7" s="4">
        <v>2089</v>
      </c>
      <c r="F7" s="4">
        <v>7</v>
      </c>
      <c r="G7" s="4">
        <v>2</v>
      </c>
      <c r="H7" s="4">
        <v>0</v>
      </c>
    </row>
    <row r="8" spans="1:8" x14ac:dyDescent="0.2">
      <c r="A8" s="4" t="s">
        <v>7</v>
      </c>
      <c r="B8" s="5">
        <v>370.3</v>
      </c>
      <c r="C8" s="6">
        <v>0.18079999999999999</v>
      </c>
      <c r="D8" s="4">
        <v>58</v>
      </c>
      <c r="E8" s="4">
        <v>1433</v>
      </c>
      <c r="F8" s="4">
        <v>7</v>
      </c>
      <c r="G8" s="4">
        <v>2</v>
      </c>
      <c r="H8" s="4">
        <v>0</v>
      </c>
    </row>
    <row r="9" spans="1:8" x14ac:dyDescent="0.2">
      <c r="A9" s="4" t="s">
        <v>27</v>
      </c>
      <c r="B9" s="5">
        <v>777.9</v>
      </c>
      <c r="C9" s="6">
        <v>0.50149999999999995</v>
      </c>
      <c r="D9" s="4">
        <v>17</v>
      </c>
      <c r="E9" s="4">
        <v>2991</v>
      </c>
      <c r="F9" s="4">
        <v>9</v>
      </c>
      <c r="G9" s="4">
        <v>2.5</v>
      </c>
      <c r="H9" s="4">
        <v>1</v>
      </c>
    </row>
    <row r="10" spans="1:8" x14ac:dyDescent="0.2">
      <c r="A10" s="4" t="s">
        <v>8</v>
      </c>
      <c r="B10" s="5">
        <v>347.1</v>
      </c>
      <c r="C10" s="6">
        <v>0.22289999999999999</v>
      </c>
      <c r="D10" s="4">
        <v>62</v>
      </c>
      <c r="E10" s="4">
        <v>1008</v>
      </c>
      <c r="F10" s="4">
        <v>5</v>
      </c>
      <c r="G10" s="4">
        <v>1</v>
      </c>
      <c r="H10" s="4">
        <v>0</v>
      </c>
    </row>
    <row r="11" spans="1:8" x14ac:dyDescent="0.2">
      <c r="A11" s="4" t="s">
        <v>28</v>
      </c>
      <c r="B11" s="5">
        <v>756.8</v>
      </c>
      <c r="C11" s="6">
        <v>0.13</v>
      </c>
      <c r="D11" s="4">
        <v>25</v>
      </c>
      <c r="E11" s="4">
        <v>3202</v>
      </c>
      <c r="F11" s="4">
        <v>8</v>
      </c>
      <c r="G11" s="4">
        <v>2.5</v>
      </c>
      <c r="H11" s="4">
        <v>2</v>
      </c>
    </row>
    <row r="12" spans="1:8" x14ac:dyDescent="0.2">
      <c r="A12" s="4" t="s">
        <v>9</v>
      </c>
      <c r="B12" s="5">
        <v>389</v>
      </c>
      <c r="C12" s="6">
        <v>0.17630000000000001</v>
      </c>
      <c r="D12" s="4">
        <v>64</v>
      </c>
      <c r="E12" s="4">
        <v>2230</v>
      </c>
      <c r="F12" s="4">
        <v>8</v>
      </c>
      <c r="G12" s="4">
        <v>2</v>
      </c>
      <c r="H12" s="4">
        <v>0</v>
      </c>
    </row>
    <row r="13" spans="1:8" x14ac:dyDescent="0.2">
      <c r="A13" s="4" t="s">
        <v>32</v>
      </c>
      <c r="B13" s="5">
        <v>889</v>
      </c>
      <c r="C13" s="6">
        <v>1.31</v>
      </c>
      <c r="D13" s="4">
        <v>62</v>
      </c>
      <c r="E13" s="4">
        <v>1848</v>
      </c>
      <c r="F13" s="4">
        <v>7</v>
      </c>
      <c r="G13" s="4">
        <v>2</v>
      </c>
      <c r="H13" s="4">
        <v>1</v>
      </c>
    </row>
    <row r="14" spans="1:8" x14ac:dyDescent="0.2">
      <c r="A14" s="4" t="s">
        <v>10</v>
      </c>
      <c r="B14" s="5">
        <v>452.2</v>
      </c>
      <c r="C14" s="6">
        <v>0.252</v>
      </c>
      <c r="D14" s="4">
        <v>56</v>
      </c>
      <c r="E14" s="4">
        <v>2100</v>
      </c>
      <c r="F14" s="4">
        <v>6</v>
      </c>
      <c r="G14" s="4">
        <v>2</v>
      </c>
      <c r="H14" s="4">
        <v>0</v>
      </c>
    </row>
    <row r="15" spans="1:8" x14ac:dyDescent="0.2">
      <c r="A15" s="4" t="s">
        <v>11</v>
      </c>
      <c r="B15" s="5">
        <v>412.4</v>
      </c>
      <c r="C15" s="6">
        <v>0.1148</v>
      </c>
      <c r="D15" s="4">
        <v>22</v>
      </c>
      <c r="E15" s="4">
        <v>1846</v>
      </c>
      <c r="F15" s="4">
        <v>5</v>
      </c>
      <c r="G15" s="4">
        <v>3</v>
      </c>
      <c r="H15" s="4">
        <v>1</v>
      </c>
    </row>
    <row r="16" spans="1:8" x14ac:dyDescent="0.2">
      <c r="A16" s="4" t="s">
        <v>12</v>
      </c>
      <c r="B16" s="5">
        <v>338.3</v>
      </c>
      <c r="C16" s="6">
        <v>0.16930000000000001</v>
      </c>
      <c r="D16" s="4">
        <v>74</v>
      </c>
      <c r="E16" s="4">
        <v>1331</v>
      </c>
      <c r="F16" s="4">
        <v>5</v>
      </c>
      <c r="G16" s="4">
        <v>1</v>
      </c>
      <c r="H16" s="4">
        <v>1</v>
      </c>
    </row>
    <row r="17" spans="1:8" x14ac:dyDescent="0.2">
      <c r="A17" s="4" t="s">
        <v>13</v>
      </c>
      <c r="B17" s="5">
        <v>334.3</v>
      </c>
      <c r="C17" s="6">
        <v>0.1714</v>
      </c>
      <c r="D17" s="4">
        <v>62</v>
      </c>
      <c r="E17" s="4">
        <v>1344</v>
      </c>
      <c r="F17" s="4">
        <v>8</v>
      </c>
      <c r="G17" s="4">
        <v>1</v>
      </c>
      <c r="H17" s="4">
        <v>0</v>
      </c>
    </row>
    <row r="18" spans="1:8" x14ac:dyDescent="0.2">
      <c r="A18" s="4" t="s">
        <v>14</v>
      </c>
      <c r="B18" s="5">
        <v>437.4</v>
      </c>
      <c r="C18" s="6">
        <v>0.38490000000000002</v>
      </c>
      <c r="D18" s="4">
        <v>54</v>
      </c>
      <c r="E18" s="4">
        <v>1822</v>
      </c>
      <c r="F18" s="4">
        <v>6</v>
      </c>
      <c r="G18" s="4">
        <v>2</v>
      </c>
      <c r="H18" s="4">
        <v>1</v>
      </c>
    </row>
    <row r="19" spans="1:8" x14ac:dyDescent="0.2">
      <c r="A19" s="4" t="s">
        <v>15</v>
      </c>
      <c r="B19" s="5">
        <v>644</v>
      </c>
      <c r="C19" s="6">
        <v>0.65449999999999997</v>
      </c>
      <c r="D19" s="4">
        <v>56</v>
      </c>
      <c r="E19" s="4">
        <v>2479</v>
      </c>
      <c r="F19" s="4">
        <v>6</v>
      </c>
      <c r="G19" s="4">
        <v>2.5</v>
      </c>
      <c r="H19" s="4">
        <v>2</v>
      </c>
    </row>
    <row r="20" spans="1:8" x14ac:dyDescent="0.2">
      <c r="A20" s="4" t="s">
        <v>16</v>
      </c>
      <c r="B20" s="5">
        <v>387.8</v>
      </c>
      <c r="C20" s="6">
        <v>0.17219999999999999</v>
      </c>
      <c r="D20" s="4">
        <v>62</v>
      </c>
      <c r="E20" s="4">
        <v>1605</v>
      </c>
      <c r="F20" s="4">
        <v>6</v>
      </c>
      <c r="G20" s="4">
        <v>3</v>
      </c>
      <c r="H20" s="4">
        <v>0</v>
      </c>
    </row>
    <row r="21" spans="1:8" x14ac:dyDescent="0.2">
      <c r="A21" s="4" t="s">
        <v>17</v>
      </c>
      <c r="B21" s="5">
        <v>399.8</v>
      </c>
      <c r="C21" s="6">
        <v>0.14349999999999999</v>
      </c>
      <c r="D21" s="4">
        <v>88</v>
      </c>
      <c r="E21" s="4">
        <v>2080</v>
      </c>
      <c r="F21" s="4">
        <v>11</v>
      </c>
      <c r="G21" s="4">
        <v>2</v>
      </c>
      <c r="H21" s="4">
        <v>0</v>
      </c>
    </row>
    <row r="22" spans="1:8" x14ac:dyDescent="0.2">
      <c r="A22" s="4" t="s">
        <v>18</v>
      </c>
      <c r="B22" s="5">
        <v>356.4</v>
      </c>
      <c r="C22" s="6">
        <v>0.27550000000000002</v>
      </c>
      <c r="D22" s="4">
        <v>81</v>
      </c>
      <c r="E22" s="4">
        <v>2410</v>
      </c>
      <c r="F22" s="4">
        <v>6</v>
      </c>
      <c r="G22" s="4">
        <v>1</v>
      </c>
      <c r="H22" s="4">
        <v>1</v>
      </c>
    </row>
    <row r="23" spans="1:8" x14ac:dyDescent="0.2">
      <c r="A23" s="4" t="s">
        <v>19</v>
      </c>
      <c r="B23" s="5">
        <v>346.9</v>
      </c>
      <c r="C23" s="6">
        <v>0.1148</v>
      </c>
      <c r="D23" s="4">
        <v>107</v>
      </c>
      <c r="E23" s="4">
        <v>1753</v>
      </c>
      <c r="F23" s="4">
        <v>8</v>
      </c>
      <c r="G23" s="4">
        <v>2</v>
      </c>
      <c r="H23" s="4">
        <v>0</v>
      </c>
    </row>
    <row r="24" spans="1:8" x14ac:dyDescent="0.2">
      <c r="A24" s="4" t="s">
        <v>20</v>
      </c>
      <c r="B24" s="5">
        <v>541.79999999999995</v>
      </c>
      <c r="C24" s="6">
        <v>0.36359999999999998</v>
      </c>
      <c r="D24" s="4">
        <v>55</v>
      </c>
      <c r="E24" s="4">
        <v>1884</v>
      </c>
      <c r="F24" s="4">
        <v>7</v>
      </c>
      <c r="G24" s="4">
        <v>2</v>
      </c>
      <c r="H24" s="4">
        <v>2</v>
      </c>
    </row>
    <row r="25" spans="1:8" x14ac:dyDescent="0.2">
      <c r="A25" s="4" t="s">
        <v>21</v>
      </c>
      <c r="B25" s="5">
        <v>388</v>
      </c>
      <c r="C25" s="6">
        <v>0.1474</v>
      </c>
      <c r="D25" s="4">
        <v>51</v>
      </c>
      <c r="E25" s="4">
        <v>2050</v>
      </c>
      <c r="F25" s="4">
        <v>10</v>
      </c>
      <c r="G25" s="4">
        <v>2</v>
      </c>
      <c r="H25" s="4">
        <v>2</v>
      </c>
    </row>
    <row r="26" spans="1:8" x14ac:dyDescent="0.2">
      <c r="A26" s="4" t="s">
        <v>22</v>
      </c>
      <c r="B26" s="5">
        <v>564</v>
      </c>
      <c r="C26" s="6">
        <v>0.2281</v>
      </c>
      <c r="D26" s="4">
        <v>50</v>
      </c>
      <c r="E26" s="4">
        <v>2978</v>
      </c>
      <c r="F26" s="4">
        <v>6</v>
      </c>
      <c r="G26" s="4">
        <v>2.5</v>
      </c>
      <c r="H26" s="4">
        <v>2</v>
      </c>
    </row>
    <row r="27" spans="1:8" x14ac:dyDescent="0.2">
      <c r="A27" s="4" t="s">
        <v>23</v>
      </c>
      <c r="B27" s="5">
        <v>454.4</v>
      </c>
      <c r="C27" s="6">
        <v>0.46260000000000001</v>
      </c>
      <c r="D27" s="4">
        <v>92</v>
      </c>
      <c r="E27" s="4">
        <v>2132</v>
      </c>
      <c r="F27" s="4">
        <v>7</v>
      </c>
      <c r="G27" s="4">
        <v>1</v>
      </c>
      <c r="H27" s="4">
        <v>0</v>
      </c>
    </row>
    <row r="28" spans="1:8" x14ac:dyDescent="0.2">
      <c r="A28" s="4" t="s">
        <v>29</v>
      </c>
      <c r="B28" s="5">
        <v>417.3</v>
      </c>
      <c r="C28" s="6">
        <v>0.18890000000000001</v>
      </c>
      <c r="D28" s="4">
        <v>64</v>
      </c>
      <c r="E28" s="4">
        <v>1551</v>
      </c>
      <c r="F28" s="4">
        <v>6</v>
      </c>
      <c r="G28" s="4">
        <v>2</v>
      </c>
      <c r="H28" s="4">
        <v>0</v>
      </c>
    </row>
    <row r="29" spans="1:8" x14ac:dyDescent="0.2">
      <c r="A29" s="4" t="s">
        <v>24</v>
      </c>
      <c r="B29" s="5">
        <v>318.8</v>
      </c>
      <c r="C29" s="6">
        <v>0.12280000000000001</v>
      </c>
      <c r="D29" s="4">
        <v>54</v>
      </c>
      <c r="E29" s="4">
        <v>1129</v>
      </c>
      <c r="F29" s="4">
        <v>5</v>
      </c>
      <c r="G29" s="4">
        <v>1</v>
      </c>
      <c r="H29" s="4">
        <v>0</v>
      </c>
    </row>
    <row r="30" spans="1:8" x14ac:dyDescent="0.2">
      <c r="A30" s="4" t="s">
        <v>25</v>
      </c>
      <c r="B30" s="5">
        <v>519.79999999999995</v>
      </c>
      <c r="C30" s="6">
        <v>0.1492</v>
      </c>
      <c r="D30" s="4">
        <v>44</v>
      </c>
      <c r="E30" s="4">
        <v>1674</v>
      </c>
      <c r="F30" s="4">
        <v>7</v>
      </c>
      <c r="G30" s="4">
        <v>2</v>
      </c>
      <c r="H30" s="4">
        <v>1</v>
      </c>
    </row>
    <row r="31" spans="1:8" x14ac:dyDescent="0.2">
      <c r="A31" s="7" t="s">
        <v>26</v>
      </c>
      <c r="B31" s="8">
        <v>310.2</v>
      </c>
      <c r="C31" s="9">
        <v>8.5199999999999998E-2</v>
      </c>
      <c r="D31" s="7">
        <v>104</v>
      </c>
      <c r="E31" s="7">
        <v>1184</v>
      </c>
      <c r="F31" s="7">
        <v>5</v>
      </c>
      <c r="G31" s="7">
        <v>1</v>
      </c>
      <c r="H31" s="7">
        <v>0</v>
      </c>
    </row>
  </sheetData>
  <phoneticPr fontId="1" type="noConversion"/>
  <printOptions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CIEandPI</vt:lpstr>
      <vt:lpstr>CIEPIData</vt:lpstr>
      <vt:lpstr>MRData2</vt:lpstr>
      <vt:lpstr>COMPUTE2</vt:lpstr>
      <vt:lpstr>MRData</vt:lpstr>
      <vt:lpstr>COMPUTE</vt:lpstr>
      <vt:lpstr>Residuals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2018-06-01T18:52:20Z</dcterms:created>
  <dcterms:modified xsi:type="dcterms:W3CDTF">2026-04-30T17:03:01Z</dcterms:modified>
</cp:coreProperties>
</file>