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filterPrivacy="1" codeName="ThisWorkbook" defaultThemeVersion="124226"/>
  <xr:revisionPtr revIDLastSave="0" documentId="13_ncr:1_{4B93D441-3D2E-0540-8B20-7FD216CB2E1E}" xr6:coauthVersionLast="47" xr6:coauthVersionMax="47" xr10:uidLastSave="{00000000-0000-0000-0000-000000000000}"/>
  <bookViews>
    <workbookView xWindow="0" yWindow="3700" windowWidth="29400" windowHeight="16940" xr2:uid="{00000000-000D-0000-FFFF-FFFF00000000}"/>
  </bookViews>
  <sheets>
    <sheet name="CIEandPI" sheetId="20" r:id="rId1"/>
    <sheet name="SLRData2" sheetId="19" r:id="rId2"/>
    <sheet name="COMPUTE2" sheetId="18" r:id="rId3"/>
    <sheet name="Scatter Plot" sheetId="17" r:id="rId4"/>
    <sheet name="PlotData" sheetId="16" r:id="rId5"/>
    <sheet name="Residuals" sheetId="15" r:id="rId6"/>
    <sheet name="SLRData" sheetId="14" r:id="rId7"/>
    <sheet name="COMPUTE" sheetId="13" r:id="rId8"/>
    <sheet name="DATA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0" l="1"/>
  <c r="B12" i="20"/>
  <c r="B11" i="20"/>
  <c r="B8" i="20"/>
  <c r="B9" i="20" s="1"/>
  <c r="B10" i="20" s="1"/>
  <c r="B8" i="18"/>
  <c r="L2" i="18" a="1"/>
  <c r="L2" i="18" s="1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2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B8" i="13"/>
  <c r="A18" i="13"/>
  <c r="L2" i="13" a="1"/>
  <c r="L2" i="13" s="1"/>
  <c r="B18" i="13" s="1"/>
  <c r="G16" i="13"/>
  <c r="I16" i="13" s="1"/>
  <c r="F16" i="13"/>
  <c r="H16" i="13" s="1"/>
  <c r="B14" i="20" l="1"/>
  <c r="L5" i="18"/>
  <c r="L3" i="18"/>
  <c r="M2" i="18"/>
  <c r="M5" i="18"/>
  <c r="M4" i="18"/>
  <c r="B7" i="18" s="1"/>
  <c r="B13" i="20" s="1"/>
  <c r="L4" i="18"/>
  <c r="M3" i="18"/>
  <c r="M6" i="18"/>
  <c r="L6" i="18"/>
  <c r="L5" i="13"/>
  <c r="E12" i="13" s="1"/>
  <c r="M5" i="13"/>
  <c r="B13" i="13" s="1"/>
  <c r="M3" i="13"/>
  <c r="C17" i="13" s="1"/>
  <c r="L4" i="13"/>
  <c r="B5" i="13" s="1"/>
  <c r="M6" i="13"/>
  <c r="C13" i="13" s="1"/>
  <c r="D13" i="13" s="1"/>
  <c r="M2" i="13"/>
  <c r="B17" i="13" s="1"/>
  <c r="D17" i="13" s="1"/>
  <c r="E17" i="13" s="1"/>
  <c r="M4" i="13"/>
  <c r="B7" i="13" s="1"/>
  <c r="L3" i="13"/>
  <c r="C18" i="13" s="1"/>
  <c r="D18" i="13" s="1"/>
  <c r="E18" i="13" s="1"/>
  <c r="L6" i="13"/>
  <c r="B18" i="20" l="1"/>
  <c r="B20" i="20" s="1"/>
  <c r="B23" i="20"/>
  <c r="L9" i="13"/>
  <c r="B14" i="13"/>
  <c r="D12" i="13"/>
  <c r="C12" i="13"/>
  <c r="C14" i="13" s="1"/>
  <c r="B4" i="13" s="1"/>
  <c r="F12" i="13"/>
  <c r="B19" i="20" l="1"/>
  <c r="B25" i="20"/>
  <c r="B24" i="20"/>
  <c r="B6" i="13"/>
  <c r="L11" i="13"/>
  <c r="L10" i="13"/>
  <c r="F17" i="13" l="1"/>
  <c r="H17" i="13" s="1"/>
  <c r="G17" i="13"/>
  <c r="I17" i="13" s="1"/>
  <c r="G18" i="13"/>
  <c r="I18" i="13" s="1"/>
  <c r="F18" i="13"/>
  <c r="H18" i="13" s="1"/>
</calcChain>
</file>

<file path=xl/sharedStrings.xml><?xml version="1.0" encoding="utf-8"?>
<sst xmlns="http://schemas.openxmlformats.org/spreadsheetml/2006/main" count="123" uniqueCount="94">
  <si>
    <t>Tuition per year ($)</t>
  </si>
  <si>
    <t>Average GMAT score</t>
  </si>
  <si>
    <t>Acceptance Rate (%)</t>
  </si>
  <si>
    <t>729 </t>
  </si>
  <si>
    <t>730 </t>
  </si>
  <si>
    <t>726 </t>
  </si>
  <si>
    <t>724 </t>
  </si>
  <si>
    <t>728 </t>
  </si>
  <si>
    <t>737 </t>
  </si>
  <si>
    <t>717 </t>
  </si>
  <si>
    <t>720 </t>
  </si>
  <si>
    <t>725 </t>
  </si>
  <si>
    <t>695 </t>
  </si>
  <si>
    <t>710 </t>
  </si>
  <si>
    <t>700 </t>
  </si>
  <si>
    <t>686 </t>
  </si>
  <si>
    <t>683 </t>
  </si>
  <si>
    <t>692 </t>
  </si>
  <si>
    <t>688 </t>
  </si>
  <si>
    <t>691 </t>
  </si>
  <si>
    <t>690 </t>
  </si>
  <si>
    <t>665 </t>
  </si>
  <si>
    <t>667 </t>
  </si>
  <si>
    <t>682 </t>
  </si>
  <si>
    <t>662 </t>
  </si>
  <si>
    <t>621 </t>
  </si>
  <si>
    <t>642 </t>
  </si>
  <si>
    <t>641 </t>
  </si>
  <si>
    <t>651 </t>
  </si>
  <si>
    <t>632 </t>
  </si>
  <si>
    <t>623 </t>
  </si>
  <si>
    <t>622 </t>
  </si>
  <si>
    <t>558 </t>
  </si>
  <si>
    <t>567 </t>
  </si>
  <si>
    <t>498 </t>
  </si>
  <si>
    <t>482 </t>
  </si>
  <si>
    <t>486 </t>
  </si>
  <si>
    <t>545 </t>
  </si>
  <si>
    <t>School</t>
  </si>
  <si>
    <t>Average starting salary and bonus ($) (Y)</t>
  </si>
  <si>
    <t>Graduates employed at graduation (%) (X)</t>
  </si>
  <si>
    <t>Calculations</t>
  </si>
  <si>
    <t>b1, b0 Coefficients</t>
  </si>
  <si>
    <t>Regression Statistics</t>
  </si>
  <si>
    <t>b1, b0 Standard Error</t>
  </si>
  <si>
    <t>Multiple R</t>
  </si>
  <si>
    <t>R Square, Standard Error</t>
  </si>
  <si>
    <t>R Square</t>
  </si>
  <si>
    <r>
      <t>F</t>
    </r>
    <r>
      <rPr>
        <sz val="11"/>
        <rFont val="Calibri"/>
        <family val="2"/>
      </rPr>
      <t xml:space="preserve">, Residual </t>
    </r>
    <r>
      <rPr>
        <i/>
        <sz val="11"/>
        <rFont val="Calibri"/>
        <family val="2"/>
      </rPr>
      <t>df</t>
    </r>
  </si>
  <si>
    <t>Adjusted R Square</t>
  </si>
  <si>
    <r>
      <t xml:space="preserve">Regression </t>
    </r>
    <r>
      <rPr>
        <i/>
        <sz val="11"/>
        <rFont val="Calibri"/>
        <family val="2"/>
      </rPr>
      <t>SS</t>
    </r>
    <r>
      <rPr>
        <sz val="11"/>
        <rFont val="Calibri"/>
        <family val="2"/>
      </rPr>
      <t xml:space="preserve">, Residual </t>
    </r>
    <r>
      <rPr>
        <i/>
        <sz val="11"/>
        <rFont val="Calibri"/>
        <family val="2"/>
      </rPr>
      <t>SS</t>
    </r>
  </si>
  <si>
    <t>Standard Error</t>
  </si>
  <si>
    <t>Observations</t>
  </si>
  <si>
    <t>Confidence level</t>
  </si>
  <si>
    <r>
      <t>t</t>
    </r>
    <r>
      <rPr>
        <sz val="11"/>
        <rFont val="Calibri"/>
        <family val="2"/>
      </rPr>
      <t xml:space="preserve"> Critical Value</t>
    </r>
  </si>
  <si>
    <t>ANOVA</t>
  </si>
  <si>
    <r>
      <t xml:space="preserve">Half Width </t>
    </r>
    <r>
      <rPr>
        <i/>
        <sz val="11"/>
        <rFont val="Calibri"/>
        <family val="2"/>
      </rPr>
      <t>b0</t>
    </r>
  </si>
  <si>
    <t>df</t>
  </si>
  <si>
    <t>SS</t>
  </si>
  <si>
    <t>MS</t>
  </si>
  <si>
    <t>F</t>
  </si>
  <si>
    <t>Significance F</t>
  </si>
  <si>
    <r>
      <t xml:space="preserve">Half Width </t>
    </r>
    <r>
      <rPr>
        <i/>
        <sz val="11"/>
        <rFont val="Calibri"/>
        <family val="2"/>
      </rPr>
      <t>b1</t>
    </r>
  </si>
  <si>
    <t>Regression</t>
  </si>
  <si>
    <t>Residual</t>
  </si>
  <si>
    <t>Total</t>
  </si>
  <si>
    <t>Coefficients</t>
  </si>
  <si>
    <t>t Stat</t>
  </si>
  <si>
    <t>P-value</t>
  </si>
  <si>
    <t>Intercept</t>
  </si>
  <si>
    <t>Simple Linear Regression Analysis</t>
  </si>
  <si>
    <t>Observation</t>
  </si>
  <si>
    <t>Predicted Y</t>
  </si>
  <si>
    <t>Residuals</t>
  </si>
  <si>
    <t>Intermediate Calculations</t>
  </si>
  <si>
    <t>Sample Size</t>
  </si>
  <si>
    <t>Degrees of Freedom</t>
  </si>
  <si>
    <t>t Value</t>
  </si>
  <si>
    <t>XBar, Sample Mean of X</t>
  </si>
  <si>
    <t>Sum of Squared Differences from XBar</t>
  </si>
  <si>
    <t>Standard Error of the Estimate</t>
  </si>
  <si>
    <t>h Statistic</t>
  </si>
  <si>
    <t>Predicted Y (YHat)</t>
  </si>
  <si>
    <t>For Average Y</t>
  </si>
  <si>
    <t>Interval Half Width</t>
  </si>
  <si>
    <t>Confidence Interval Lower Limit</t>
  </si>
  <si>
    <t>Confidence Interval Upper Limit</t>
  </si>
  <si>
    <t>For Individual Response Y</t>
  </si>
  <si>
    <t>Prediction Interval Lower Limit</t>
  </si>
  <si>
    <t>Prediction Interval Upper Limit</t>
  </si>
  <si>
    <t>Data</t>
  </si>
  <si>
    <t>X Value</t>
  </si>
  <si>
    <t>Confidence Level</t>
  </si>
  <si>
    <t>Confidence Interval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</si>
</sst>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000000"/>
    <numFmt numFmtId="167" formatCode="0.00000"/>
  </numFmts>
  <fonts count="9" x14ac:knownFonts="1">
    <font>
      <sz val="10"/>
      <name val="Arial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i/>
      <sz val="1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51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1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4" fillId="0" borderId="0" xfId="1" applyFont="1"/>
    <xf numFmtId="0" fontId="5" fillId="0" borderId="1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/>
    <xf numFmtId="0" fontId="6" fillId="0" borderId="0" xfId="1" applyFont="1"/>
    <xf numFmtId="0" fontId="5" fillId="0" borderId="0" xfId="2" applyFont="1"/>
    <xf numFmtId="165" fontId="6" fillId="0" borderId="2" xfId="1" applyNumberFormat="1" applyFont="1" applyBorder="1"/>
    <xf numFmtId="165" fontId="6" fillId="0" borderId="3" xfId="1" applyNumberFormat="1" applyFont="1" applyBorder="1"/>
    <xf numFmtId="0" fontId="5" fillId="0" borderId="4" xfId="1" applyFont="1" applyBorder="1" applyAlignment="1">
      <alignment horizontal="centerContinuous"/>
    </xf>
    <xf numFmtId="165" fontId="6" fillId="0" borderId="5" xfId="1" applyNumberFormat="1" applyFont="1" applyBorder="1"/>
    <xf numFmtId="165" fontId="6" fillId="0" borderId="6" xfId="1" applyNumberFormat="1" applyFont="1" applyBorder="1"/>
    <xf numFmtId="165" fontId="6" fillId="0" borderId="0" xfId="1" applyNumberFormat="1" applyFont="1"/>
    <xf numFmtId="166" fontId="4" fillId="0" borderId="0" xfId="1" applyNumberFormat="1" applyFont="1"/>
    <xf numFmtId="0" fontId="6" fillId="0" borderId="0" xfId="2" applyFont="1"/>
    <xf numFmtId="165" fontId="6" fillId="0" borderId="7" xfId="1" applyNumberFormat="1" applyFont="1" applyBorder="1"/>
    <xf numFmtId="165" fontId="6" fillId="0" borderId="8" xfId="1" applyNumberFormat="1" applyFont="1" applyBorder="1"/>
    <xf numFmtId="0" fontId="6" fillId="0" borderId="9" xfId="1" applyFont="1" applyBorder="1"/>
    <xf numFmtId="9" fontId="6" fillId="0" borderId="0" xfId="2" applyNumberFormat="1" applyFont="1"/>
    <xf numFmtId="165" fontId="6" fillId="0" borderId="0" xfId="2" applyNumberFormat="1" applyFont="1"/>
    <xf numFmtId="0" fontId="5" fillId="0" borderId="4" xfId="1" applyFont="1" applyBorder="1" applyAlignment="1">
      <alignment horizontal="center"/>
    </xf>
    <xf numFmtId="1" fontId="6" fillId="0" borderId="9" xfId="1" applyNumberFormat="1" applyFont="1" applyBorder="1"/>
    <xf numFmtId="165" fontId="6" fillId="0" borderId="9" xfId="1" applyNumberFormat="1" applyFont="1" applyBorder="1"/>
    <xf numFmtId="0" fontId="5" fillId="0" borderId="4" xfId="2" applyFont="1" applyBorder="1" applyAlignment="1">
      <alignment horizontal="center"/>
    </xf>
    <xf numFmtId="0" fontId="7" fillId="0" borderId="0" xfId="1" applyFont="1" applyAlignment="1">
      <alignment horizontal="center"/>
    </xf>
    <xf numFmtId="167" fontId="6" fillId="0" borderId="0" xfId="2" applyNumberFormat="1" applyFont="1"/>
    <xf numFmtId="167" fontId="4" fillId="0" borderId="0" xfId="1" applyNumberFormat="1" applyFont="1"/>
    <xf numFmtId="2" fontId="6" fillId="0" borderId="9" xfId="2" applyNumberFormat="1" applyFont="1" applyBorder="1"/>
    <xf numFmtId="165" fontId="6" fillId="0" borderId="9" xfId="2" applyNumberFormat="1" applyFont="1" applyBorder="1"/>
    <xf numFmtId="167" fontId="6" fillId="0" borderId="9" xfId="2" applyNumberFormat="1" applyFont="1" applyBorder="1"/>
    <xf numFmtId="0" fontId="8" fillId="0" borderId="0" xfId="0" applyFont="1"/>
    <xf numFmtId="0" fontId="8" fillId="3" borderId="10" xfId="0" applyFont="1" applyFill="1" applyBorder="1" applyAlignment="1">
      <alignment horizontal="center"/>
    </xf>
    <xf numFmtId="0" fontId="8" fillId="3" borderId="10" xfId="0" applyFont="1" applyFill="1" applyBorder="1"/>
    <xf numFmtId="0" fontId="8" fillId="3" borderId="10" xfId="0" applyFont="1" applyFill="1" applyBorder="1" applyProtection="1">
      <protection locked="0"/>
    </xf>
    <xf numFmtId="9" fontId="8" fillId="3" borderId="10" xfId="0" applyNumberFormat="1" applyFont="1" applyFill="1" applyBorder="1" applyProtection="1">
      <protection locked="0"/>
    </xf>
    <xf numFmtId="0" fontId="0" fillId="0" borderId="10" xfId="0" applyBorder="1" applyAlignment="1">
      <alignment horizontal="center"/>
    </xf>
    <xf numFmtId="0" fontId="0" fillId="0" borderId="10" xfId="0" applyBorder="1"/>
    <xf numFmtId="0" fontId="8" fillId="2" borderId="10" xfId="0" applyFont="1" applyFill="1" applyBorder="1" applyAlignment="1">
      <alignment horizontal="center"/>
    </xf>
    <xf numFmtId="0" fontId="0" fillId="2" borderId="10" xfId="0" applyFill="1" applyBorder="1"/>
    <xf numFmtId="0" fontId="8" fillId="2" borderId="10" xfId="0" applyFont="1" applyFill="1" applyBorder="1"/>
    <xf numFmtId="165" fontId="0" fillId="2" borderId="10" xfId="0" applyNumberFormat="1" applyFill="1" applyBorder="1"/>
    <xf numFmtId="165" fontId="8" fillId="2" borderId="10" xfId="0" applyNumberFormat="1" applyFont="1" applyFill="1" applyBorder="1"/>
    <xf numFmtId="165" fontId="8" fillId="2" borderId="10" xfId="0" applyNumberFormat="1" applyFont="1" applyFill="1" applyBorder="1" applyAlignment="1">
      <alignment horizontal="center"/>
    </xf>
  </cellXfs>
  <cellStyles count="3">
    <cellStyle name="Normal" xfId="0" builtinId="0"/>
    <cellStyle name="Normal 2" xfId="2" xr:uid="{69B1452C-3172-F84A-90ED-BEFB6906C9D8}"/>
    <cellStyle name="Normal_ToolPakFree Simple Linear Regression" xfId="1" xr:uid="{545FAEDA-FFEC-2F42-A7CD-15D09BF732CF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Scatter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PlotData!$C$1</c:f>
              <c:strCache>
                <c:ptCount val="1"/>
                <c:pt idx="0">
                  <c:v>Average starting salary and bonus ($) (Y)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PlotData!$B$2:$B$38</c:f>
              <c:numCache>
                <c:formatCode>General</c:formatCode>
                <c:ptCount val="37"/>
                <c:pt idx="0">
                  <c:v>63675</c:v>
                </c:pt>
                <c:pt idx="1">
                  <c:v>67516</c:v>
                </c:pt>
                <c:pt idx="2">
                  <c:v>66540</c:v>
                </c:pt>
                <c:pt idx="3">
                  <c:v>67938</c:v>
                </c:pt>
                <c:pt idx="4">
                  <c:v>66462</c:v>
                </c:pt>
                <c:pt idx="5">
                  <c:v>66540</c:v>
                </c:pt>
                <c:pt idx="6">
                  <c:v>66390</c:v>
                </c:pt>
                <c:pt idx="7">
                  <c:v>68792</c:v>
                </c:pt>
                <c:pt idx="8">
                  <c:v>64200</c:v>
                </c:pt>
                <c:pt idx="9">
                  <c:v>63200</c:v>
                </c:pt>
                <c:pt idx="10">
                  <c:v>66588</c:v>
                </c:pt>
                <c:pt idx="11">
                  <c:v>61584</c:v>
                </c:pt>
                <c:pt idx="12">
                  <c:v>61440</c:v>
                </c:pt>
                <c:pt idx="13">
                  <c:v>57000</c:v>
                </c:pt>
                <c:pt idx="14">
                  <c:v>55050</c:v>
                </c:pt>
                <c:pt idx="15">
                  <c:v>55400</c:v>
                </c:pt>
                <c:pt idx="16">
                  <c:v>55474</c:v>
                </c:pt>
                <c:pt idx="17">
                  <c:v>51900</c:v>
                </c:pt>
                <c:pt idx="18">
                  <c:v>53000</c:v>
                </c:pt>
                <c:pt idx="19">
                  <c:v>50326</c:v>
                </c:pt>
                <c:pt idx="20">
                  <c:v>46000</c:v>
                </c:pt>
                <c:pt idx="21">
                  <c:v>47340</c:v>
                </c:pt>
                <c:pt idx="22">
                  <c:v>49800</c:v>
                </c:pt>
                <c:pt idx="23">
                  <c:v>45976</c:v>
                </c:pt>
                <c:pt idx="24">
                  <c:v>37996</c:v>
                </c:pt>
                <c:pt idx="25">
                  <c:v>47800</c:v>
                </c:pt>
                <c:pt idx="26">
                  <c:v>46860</c:v>
                </c:pt>
                <c:pt idx="27">
                  <c:v>49959</c:v>
                </c:pt>
                <c:pt idx="28">
                  <c:v>38250</c:v>
                </c:pt>
                <c:pt idx="29">
                  <c:v>33328</c:v>
                </c:pt>
                <c:pt idx="30">
                  <c:v>43290</c:v>
                </c:pt>
                <c:pt idx="31">
                  <c:v>41804</c:v>
                </c:pt>
                <c:pt idx="32">
                  <c:v>49400</c:v>
                </c:pt>
                <c:pt idx="33">
                  <c:v>33996</c:v>
                </c:pt>
                <c:pt idx="34">
                  <c:v>23020</c:v>
                </c:pt>
                <c:pt idx="35">
                  <c:v>41490</c:v>
                </c:pt>
                <c:pt idx="36">
                  <c:v>39100</c:v>
                </c:pt>
              </c:numCache>
            </c:numRef>
          </c:xVal>
          <c:yVal>
            <c:numRef>
              <c:f>PlotData!$C$2:$C$38</c:f>
              <c:numCache>
                <c:formatCode>General</c:formatCode>
                <c:ptCount val="37"/>
                <c:pt idx="0">
                  <c:v>153830</c:v>
                </c:pt>
                <c:pt idx="1">
                  <c:v>155058</c:v>
                </c:pt>
                <c:pt idx="2">
                  <c:v>147475</c:v>
                </c:pt>
                <c:pt idx="3">
                  <c:v>143565</c:v>
                </c:pt>
                <c:pt idx="4">
                  <c:v>141694</c:v>
                </c:pt>
                <c:pt idx="5">
                  <c:v>153553</c:v>
                </c:pt>
                <c:pt idx="6">
                  <c:v>148997</c:v>
                </c:pt>
                <c:pt idx="7">
                  <c:v>150229</c:v>
                </c:pt>
                <c:pt idx="8">
                  <c:v>135988</c:v>
                </c:pt>
                <c:pt idx="9">
                  <c:v>144799</c:v>
                </c:pt>
                <c:pt idx="10">
                  <c:v>145413</c:v>
                </c:pt>
                <c:pt idx="11">
                  <c:v>146252</c:v>
                </c:pt>
                <c:pt idx="12">
                  <c:v>140289</c:v>
                </c:pt>
                <c:pt idx="13">
                  <c:v>138864</c:v>
                </c:pt>
                <c:pt idx="14">
                  <c:v>124417</c:v>
                </c:pt>
                <c:pt idx="15">
                  <c:v>115830</c:v>
                </c:pt>
                <c:pt idx="16">
                  <c:v>126932</c:v>
                </c:pt>
                <c:pt idx="17">
                  <c:v>129587</c:v>
                </c:pt>
                <c:pt idx="18">
                  <c:v>131829</c:v>
                </c:pt>
                <c:pt idx="19">
                  <c:v>122791</c:v>
                </c:pt>
                <c:pt idx="20">
                  <c:v>113515</c:v>
                </c:pt>
                <c:pt idx="21">
                  <c:v>109267</c:v>
                </c:pt>
                <c:pt idx="22">
                  <c:v>111165</c:v>
                </c:pt>
                <c:pt idx="23">
                  <c:v>108347</c:v>
                </c:pt>
                <c:pt idx="24">
                  <c:v>80249</c:v>
                </c:pt>
                <c:pt idx="25">
                  <c:v>80249</c:v>
                </c:pt>
                <c:pt idx="26">
                  <c:v>101799</c:v>
                </c:pt>
                <c:pt idx="27">
                  <c:v>76455</c:v>
                </c:pt>
                <c:pt idx="28">
                  <c:v>86123</c:v>
                </c:pt>
                <c:pt idx="29">
                  <c:v>73646</c:v>
                </c:pt>
                <c:pt idx="30">
                  <c:v>75879</c:v>
                </c:pt>
                <c:pt idx="31">
                  <c:v>52190</c:v>
                </c:pt>
                <c:pt idx="32">
                  <c:v>64891</c:v>
                </c:pt>
                <c:pt idx="33">
                  <c:v>102156</c:v>
                </c:pt>
                <c:pt idx="34">
                  <c:v>55918</c:v>
                </c:pt>
                <c:pt idx="35">
                  <c:v>80000</c:v>
                </c:pt>
                <c:pt idx="36">
                  <c:v>53848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FC-EF46-BB5A-07BD4FB0E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021136"/>
        <c:axId val="1740793679"/>
      </c:scatterChart>
      <c:valAx>
        <c:axId val="395021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0793679"/>
        <c:crossesAt val="0"/>
        <c:crossBetween val="midCat"/>
      </c:valAx>
      <c:valAx>
        <c:axId val="17407936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50211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F9FDA1B-7690-DA40-90A4-7DDD4F987198}">
  <sheetPr/>
  <sheetViews>
    <sheetView zoomScale="13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583" cy="62769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8AA444-ACE9-0EFA-47E0-457E40C850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C349-B2F4-0544-8391-8C7F8CC7F58B}">
  <dimension ref="A1:B25"/>
  <sheetViews>
    <sheetView tabSelected="1" topLeftCell="A4" workbookViewId="0">
      <selection activeCell="D27" sqref="D27"/>
    </sheetView>
  </sheetViews>
  <sheetFormatPr baseColWidth="10" defaultRowHeight="13" x14ac:dyDescent="0.15"/>
  <cols>
    <col min="1" max="1" width="31.83203125" bestFit="1" customWidth="1"/>
    <col min="2" max="2" width="11.6640625" bestFit="1" customWidth="1"/>
  </cols>
  <sheetData>
    <row r="1" spans="1:2" x14ac:dyDescent="0.15">
      <c r="A1" s="38" t="s">
        <v>93</v>
      </c>
    </row>
    <row r="3" spans="1:2" x14ac:dyDescent="0.15">
      <c r="A3" s="39" t="s">
        <v>90</v>
      </c>
      <c r="B3" s="39"/>
    </row>
    <row r="4" spans="1:2" x14ac:dyDescent="0.15">
      <c r="A4" s="40" t="s">
        <v>91</v>
      </c>
      <c r="B4" s="41">
        <v>50450</v>
      </c>
    </row>
    <row r="5" spans="1:2" x14ac:dyDescent="0.15">
      <c r="A5" s="40" t="s">
        <v>92</v>
      </c>
      <c r="B5" s="42">
        <v>0.95</v>
      </c>
    </row>
    <row r="7" spans="1:2" x14ac:dyDescent="0.15">
      <c r="A7" s="43" t="s">
        <v>74</v>
      </c>
      <c r="B7" s="43"/>
    </row>
    <row r="8" spans="1:2" x14ac:dyDescent="0.15">
      <c r="A8" s="44" t="s">
        <v>75</v>
      </c>
      <c r="B8" s="44">
        <f>COUNT(SLRData2!$A$2:$A$38)</f>
        <v>37</v>
      </c>
    </row>
    <row r="9" spans="1:2" x14ac:dyDescent="0.15">
      <c r="A9" s="44" t="s">
        <v>76</v>
      </c>
      <c r="B9" s="44">
        <f>B8 - 2</f>
        <v>35</v>
      </c>
    </row>
    <row r="10" spans="1:2" x14ac:dyDescent="0.15">
      <c r="A10" s="44" t="s">
        <v>77</v>
      </c>
      <c r="B10" s="44">
        <f>TINV(1 - B5, B9)</f>
        <v>2.0301079282503438</v>
      </c>
    </row>
    <row r="11" spans="1:2" x14ac:dyDescent="0.15">
      <c r="A11" s="44" t="s">
        <v>78</v>
      </c>
      <c r="B11" s="44">
        <f>AVERAGE(SLRData2!$A$2:$A$38)</f>
        <v>52552</v>
      </c>
    </row>
    <row r="12" spans="1:2" x14ac:dyDescent="0.15">
      <c r="A12" s="44" t="s">
        <v>79</v>
      </c>
      <c r="B12" s="44">
        <f>DEVSQ(SLRData2!$A$2:$A$38)</f>
        <v>4978938126</v>
      </c>
    </row>
    <row r="13" spans="1:2" x14ac:dyDescent="0.15">
      <c r="A13" s="44" t="s">
        <v>80</v>
      </c>
      <c r="B13" s="44">
        <f>COMPUTE2!$B$7</f>
        <v>15944.380695393125</v>
      </c>
    </row>
    <row r="14" spans="1:2" x14ac:dyDescent="0.15">
      <c r="A14" s="44" t="s">
        <v>81</v>
      </c>
      <c r="B14" s="44">
        <f>1/B8+(B4-B11)^2/B12</f>
        <v>2.791444596821192E-2</v>
      </c>
    </row>
    <row r="15" spans="1:2" x14ac:dyDescent="0.15">
      <c r="A15" s="44" t="s">
        <v>82</v>
      </c>
      <c r="B15" s="44">
        <f>TREND(SLRData2!$B$2:$B$38,SLRData2!$A$2:$A$38, B4)</f>
        <v>109047.00629313543</v>
      </c>
    </row>
    <row r="17" spans="1:2" x14ac:dyDescent="0.15">
      <c r="A17" s="45" t="s">
        <v>83</v>
      </c>
      <c r="B17" s="45"/>
    </row>
    <row r="18" spans="1:2" x14ac:dyDescent="0.15">
      <c r="A18" s="46" t="s">
        <v>84</v>
      </c>
      <c r="B18" s="48">
        <f>B10 * B13 * SQRT(B14)</f>
        <v>5408.0573544393546</v>
      </c>
    </row>
    <row r="19" spans="1:2" x14ac:dyDescent="0.15">
      <c r="A19" s="47" t="s">
        <v>85</v>
      </c>
      <c r="B19" s="49">
        <f>B15 - B18</f>
        <v>103638.94893869608</v>
      </c>
    </row>
    <row r="20" spans="1:2" x14ac:dyDescent="0.15">
      <c r="A20" s="47" t="s">
        <v>86</v>
      </c>
      <c r="B20" s="47">
        <f>B15 + B18</f>
        <v>114455.06364757479</v>
      </c>
    </row>
    <row r="22" spans="1:2" x14ac:dyDescent="0.15">
      <c r="A22" s="45" t="s">
        <v>87</v>
      </c>
      <c r="B22" s="50"/>
    </row>
    <row r="23" spans="1:2" x14ac:dyDescent="0.15">
      <c r="A23" s="46" t="s">
        <v>84</v>
      </c>
      <c r="B23" s="48">
        <f>B10 * B13 * SQRT(1 + B14)</f>
        <v>32817.482873521309</v>
      </c>
    </row>
    <row r="24" spans="1:2" x14ac:dyDescent="0.15">
      <c r="A24" s="47" t="s">
        <v>88</v>
      </c>
      <c r="B24" s="49">
        <f>B15 - B23</f>
        <v>76229.523419614125</v>
      </c>
    </row>
    <row r="25" spans="1:2" x14ac:dyDescent="0.15">
      <c r="A25" s="47" t="s">
        <v>89</v>
      </c>
      <c r="B25" s="47">
        <f>B15 + B23</f>
        <v>141864.48916665674</v>
      </c>
    </row>
  </sheetData>
  <mergeCells count="4">
    <mergeCell ref="A3:B3"/>
    <mergeCell ref="A7:B7"/>
    <mergeCell ref="A17:B17"/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3760-A80F-8344-B440-2EC5C3B414D5}">
  <dimension ref="A1:B38"/>
  <sheetViews>
    <sheetView workbookViewId="0"/>
  </sheetViews>
  <sheetFormatPr baseColWidth="10" defaultRowHeight="13" x14ac:dyDescent="0.15"/>
  <sheetData>
    <row r="1" spans="1:2" x14ac:dyDescent="0.15">
      <c r="A1" t="s">
        <v>0</v>
      </c>
      <c r="B1" t="s">
        <v>39</v>
      </c>
    </row>
    <row r="2" spans="1:2" x14ac:dyDescent="0.15">
      <c r="A2">
        <v>63675</v>
      </c>
      <c r="B2">
        <v>153830</v>
      </c>
    </row>
    <row r="3" spans="1:2" x14ac:dyDescent="0.15">
      <c r="A3">
        <v>67516</v>
      </c>
      <c r="B3">
        <v>155058</v>
      </c>
    </row>
    <row r="4" spans="1:2" x14ac:dyDescent="0.15">
      <c r="A4">
        <v>66540</v>
      </c>
      <c r="B4">
        <v>147475</v>
      </c>
    </row>
    <row r="5" spans="1:2" x14ac:dyDescent="0.15">
      <c r="A5">
        <v>67938</v>
      </c>
      <c r="B5">
        <v>143565</v>
      </c>
    </row>
    <row r="6" spans="1:2" x14ac:dyDescent="0.15">
      <c r="A6">
        <v>66462</v>
      </c>
      <c r="B6">
        <v>141694</v>
      </c>
    </row>
    <row r="7" spans="1:2" x14ac:dyDescent="0.15">
      <c r="A7">
        <v>66540</v>
      </c>
      <c r="B7">
        <v>153553</v>
      </c>
    </row>
    <row r="8" spans="1:2" x14ac:dyDescent="0.15">
      <c r="A8">
        <v>66390</v>
      </c>
      <c r="B8">
        <v>148997</v>
      </c>
    </row>
    <row r="9" spans="1:2" x14ac:dyDescent="0.15">
      <c r="A9">
        <v>68792</v>
      </c>
      <c r="B9">
        <v>150229</v>
      </c>
    </row>
    <row r="10" spans="1:2" x14ac:dyDescent="0.15">
      <c r="A10">
        <v>64200</v>
      </c>
      <c r="B10">
        <v>135988</v>
      </c>
    </row>
    <row r="11" spans="1:2" x14ac:dyDescent="0.15">
      <c r="A11">
        <v>63200</v>
      </c>
      <c r="B11">
        <v>144799</v>
      </c>
    </row>
    <row r="12" spans="1:2" x14ac:dyDescent="0.15">
      <c r="A12">
        <v>66588</v>
      </c>
      <c r="B12">
        <v>145413</v>
      </c>
    </row>
    <row r="13" spans="1:2" x14ac:dyDescent="0.15">
      <c r="A13">
        <v>61584</v>
      </c>
      <c r="B13">
        <v>146252</v>
      </c>
    </row>
    <row r="14" spans="1:2" x14ac:dyDescent="0.15">
      <c r="A14">
        <v>61440</v>
      </c>
      <c r="B14">
        <v>140289</v>
      </c>
    </row>
    <row r="15" spans="1:2" x14ac:dyDescent="0.15">
      <c r="A15">
        <v>57000</v>
      </c>
      <c r="B15">
        <v>138864</v>
      </c>
    </row>
    <row r="16" spans="1:2" x14ac:dyDescent="0.15">
      <c r="A16">
        <v>55050</v>
      </c>
      <c r="B16">
        <v>124417</v>
      </c>
    </row>
    <row r="17" spans="1:2" x14ac:dyDescent="0.15">
      <c r="A17">
        <v>55400</v>
      </c>
      <c r="B17">
        <v>115830</v>
      </c>
    </row>
    <row r="18" spans="1:2" x14ac:dyDescent="0.15">
      <c r="A18">
        <v>55474</v>
      </c>
      <c r="B18">
        <v>126932</v>
      </c>
    </row>
    <row r="19" spans="1:2" x14ac:dyDescent="0.15">
      <c r="A19">
        <v>51900</v>
      </c>
      <c r="B19">
        <v>129587</v>
      </c>
    </row>
    <row r="20" spans="1:2" x14ac:dyDescent="0.15">
      <c r="A20">
        <v>53000</v>
      </c>
      <c r="B20">
        <v>131829</v>
      </c>
    </row>
    <row r="21" spans="1:2" x14ac:dyDescent="0.15">
      <c r="A21">
        <v>50326</v>
      </c>
      <c r="B21">
        <v>122791</v>
      </c>
    </row>
    <row r="22" spans="1:2" x14ac:dyDescent="0.15">
      <c r="A22">
        <v>46000</v>
      </c>
      <c r="B22">
        <v>113515</v>
      </c>
    </row>
    <row r="23" spans="1:2" x14ac:dyDescent="0.15">
      <c r="A23">
        <v>47340</v>
      </c>
      <c r="B23">
        <v>109267</v>
      </c>
    </row>
    <row r="24" spans="1:2" x14ac:dyDescent="0.15">
      <c r="A24">
        <v>49800</v>
      </c>
      <c r="B24">
        <v>111165</v>
      </c>
    </row>
    <row r="25" spans="1:2" x14ac:dyDescent="0.15">
      <c r="A25">
        <v>45976</v>
      </c>
      <c r="B25">
        <v>108347</v>
      </c>
    </row>
    <row r="26" spans="1:2" x14ac:dyDescent="0.15">
      <c r="A26">
        <v>37996</v>
      </c>
      <c r="B26">
        <v>80249</v>
      </c>
    </row>
    <row r="27" spans="1:2" x14ac:dyDescent="0.15">
      <c r="A27">
        <v>47800</v>
      </c>
      <c r="B27">
        <v>80249</v>
      </c>
    </row>
    <row r="28" spans="1:2" x14ac:dyDescent="0.15">
      <c r="A28">
        <v>46860</v>
      </c>
      <c r="B28">
        <v>101799</v>
      </c>
    </row>
    <row r="29" spans="1:2" x14ac:dyDescent="0.15">
      <c r="A29">
        <v>49959</v>
      </c>
      <c r="B29">
        <v>76455</v>
      </c>
    </row>
    <row r="30" spans="1:2" x14ac:dyDescent="0.15">
      <c r="A30">
        <v>38250</v>
      </c>
      <c r="B30">
        <v>86123</v>
      </c>
    </row>
    <row r="31" spans="1:2" x14ac:dyDescent="0.15">
      <c r="A31">
        <v>33328</v>
      </c>
      <c r="B31">
        <v>73646</v>
      </c>
    </row>
    <row r="32" spans="1:2" x14ac:dyDescent="0.15">
      <c r="A32">
        <v>43290</v>
      </c>
      <c r="B32">
        <v>75879</v>
      </c>
    </row>
    <row r="33" spans="1:2" x14ac:dyDescent="0.15">
      <c r="A33">
        <v>41804</v>
      </c>
      <c r="B33">
        <v>52190</v>
      </c>
    </row>
    <row r="34" spans="1:2" x14ac:dyDescent="0.15">
      <c r="A34">
        <v>49400</v>
      </c>
      <c r="B34">
        <v>64891</v>
      </c>
    </row>
    <row r="35" spans="1:2" x14ac:dyDescent="0.15">
      <c r="A35">
        <v>33996</v>
      </c>
      <c r="B35">
        <v>102156</v>
      </c>
    </row>
    <row r="36" spans="1:2" x14ac:dyDescent="0.15">
      <c r="A36">
        <v>23020</v>
      </c>
      <c r="B36">
        <v>55918</v>
      </c>
    </row>
    <row r="37" spans="1:2" x14ac:dyDescent="0.15">
      <c r="A37">
        <v>41490</v>
      </c>
      <c r="B37">
        <v>80000</v>
      </c>
    </row>
    <row r="38" spans="1:2" x14ac:dyDescent="0.15">
      <c r="A38">
        <v>39100</v>
      </c>
      <c r="B38">
        <v>53848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A490-AE87-A040-94FE-D2341AB4D0E4}">
  <sheetPr codeName="Sheet13"/>
  <dimension ref="A1:O38"/>
  <sheetViews>
    <sheetView workbookViewId="0">
      <selection activeCell="A2" sqref="A2"/>
    </sheetView>
  </sheetViews>
  <sheetFormatPr baseColWidth="10" defaultColWidth="9.1640625" defaultRowHeight="15" x14ac:dyDescent="0.2"/>
  <cols>
    <col min="1" max="1" width="14.6640625" style="13" bestFit="1" customWidth="1"/>
    <col min="2" max="2" width="10.6640625" style="13" bestFit="1" customWidth="1"/>
    <col min="3" max="3" width="14.83203125" style="13" bestFit="1" customWidth="1"/>
    <col min="4" max="4" width="9.5" style="13" customWidth="1"/>
    <col min="5" max="5" width="8.5" style="13" customWidth="1"/>
    <col min="6" max="6" width="14.5" style="13" bestFit="1" customWidth="1"/>
    <col min="7" max="7" width="11" style="13" customWidth="1"/>
    <col min="8" max="8" width="12.6640625" style="13" bestFit="1" customWidth="1"/>
    <col min="9" max="9" width="12.5" style="13" bestFit="1" customWidth="1"/>
    <col min="10" max="10" width="2.83203125" style="13" customWidth="1"/>
    <col min="11" max="11" width="25.5" style="13" customWidth="1"/>
    <col min="12" max="12" width="12.5" style="13" customWidth="1"/>
    <col min="13" max="14" width="9.1640625" style="13"/>
    <col min="15" max="15" width="22.6640625" style="13" customWidth="1"/>
    <col min="16" max="16384" width="9.1640625" style="13"/>
  </cols>
  <sheetData>
    <row r="1" spans="1:15" ht="15" customHeight="1" thickBot="1" x14ac:dyDescent="0.25">
      <c r="A1" s="9" t="s">
        <v>70</v>
      </c>
      <c r="B1" s="9"/>
      <c r="C1" s="9"/>
      <c r="D1" s="9"/>
      <c r="E1" s="9"/>
      <c r="F1" s="9"/>
      <c r="G1" s="9"/>
      <c r="H1" s="9"/>
      <c r="I1" s="9"/>
      <c r="J1" s="9"/>
      <c r="K1" s="10" t="s">
        <v>41</v>
      </c>
      <c r="L1" s="11"/>
      <c r="M1" s="11"/>
      <c r="N1" s="12"/>
    </row>
    <row r="2" spans="1:15" ht="15" customHeight="1" thickBo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14" t="s">
        <v>42</v>
      </c>
      <c r="L2" s="15">
        <f t="array" ref="L2:M6">LINEST(SLRData2!$B$2:$B$38, SLRData2!$A$2:$A$38,TRUE,TRUE)</f>
        <v>2.4217574916294513</v>
      </c>
      <c r="M2" s="16">
        <v>-13130.659159570379</v>
      </c>
      <c r="N2" s="9"/>
    </row>
    <row r="3" spans="1:15" ht="15" customHeight="1" x14ac:dyDescent="0.2">
      <c r="A3" s="17" t="s">
        <v>43</v>
      </c>
      <c r="B3" s="17"/>
      <c r="C3" s="9"/>
      <c r="D3" s="9"/>
      <c r="E3" s="9"/>
      <c r="F3" s="9"/>
      <c r="G3" s="9"/>
      <c r="H3" s="9"/>
      <c r="I3" s="9"/>
      <c r="J3" s="9"/>
      <c r="K3" s="14" t="s">
        <v>44</v>
      </c>
      <c r="L3" s="18">
        <v>0.22596401904987298</v>
      </c>
      <c r="M3" s="19">
        <v>12160.724739113079</v>
      </c>
      <c r="N3" s="9"/>
    </row>
    <row r="4" spans="1:15" ht="15" customHeight="1" x14ac:dyDescent="0.2">
      <c r="A4" s="13" t="s">
        <v>45</v>
      </c>
      <c r="B4" s="20">
        <v>0.87547382542169438</v>
      </c>
      <c r="C4" s="9"/>
      <c r="D4" s="9"/>
      <c r="E4" s="9"/>
      <c r="F4" s="21"/>
      <c r="G4" s="9"/>
      <c r="H4" s="9"/>
      <c r="I4" s="9"/>
      <c r="J4" s="9"/>
      <c r="K4" s="22" t="s">
        <v>46</v>
      </c>
      <c r="L4" s="18">
        <v>0.76645441899849542</v>
      </c>
      <c r="M4" s="19">
        <v>15944.380695393125</v>
      </c>
      <c r="N4" s="9"/>
      <c r="O4" s="12"/>
    </row>
    <row r="5" spans="1:15" ht="15" customHeight="1" x14ac:dyDescent="0.2">
      <c r="A5" s="13" t="s">
        <v>47</v>
      </c>
      <c r="B5" s="20">
        <v>0.76645441899849542</v>
      </c>
      <c r="C5" s="9"/>
      <c r="D5" s="9"/>
      <c r="E5" s="9"/>
      <c r="F5" s="21"/>
      <c r="G5" s="9"/>
      <c r="H5" s="9"/>
      <c r="I5" s="9"/>
      <c r="J5" s="9"/>
      <c r="K5" s="14" t="s">
        <v>48</v>
      </c>
      <c r="L5" s="18">
        <v>114.86367907245705</v>
      </c>
      <c r="M5" s="19">
        <v>35</v>
      </c>
      <c r="N5" s="9"/>
    </row>
    <row r="6" spans="1:15" ht="15" customHeight="1" thickBot="1" x14ac:dyDescent="0.25">
      <c r="A6" s="13" t="s">
        <v>49</v>
      </c>
      <c r="B6" s="20">
        <v>0.75978168811273816</v>
      </c>
      <c r="C6" s="9"/>
      <c r="D6" s="9"/>
      <c r="E6" s="9"/>
      <c r="F6" s="9"/>
      <c r="G6" s="9"/>
      <c r="H6" s="9"/>
      <c r="I6" s="9"/>
      <c r="J6" s="9"/>
      <c r="K6" s="22" t="s">
        <v>50</v>
      </c>
      <c r="L6" s="23">
        <v>29201020759.60231</v>
      </c>
      <c r="M6" s="24">
        <v>8897814651.586874</v>
      </c>
      <c r="N6" s="9"/>
    </row>
    <row r="7" spans="1:15" ht="15" customHeight="1" x14ac:dyDescent="0.2">
      <c r="A7" s="13" t="s">
        <v>51</v>
      </c>
      <c r="B7" s="20">
        <f>M4</f>
        <v>15944.380695393125</v>
      </c>
      <c r="C7" s="9"/>
      <c r="D7" s="9"/>
      <c r="E7" s="9"/>
      <c r="F7" s="9"/>
      <c r="G7" s="9"/>
      <c r="H7" s="9"/>
      <c r="I7" s="9"/>
      <c r="J7" s="9"/>
    </row>
    <row r="8" spans="1:15" ht="15" customHeight="1" thickBot="1" x14ac:dyDescent="0.25">
      <c r="A8" s="25" t="s">
        <v>52</v>
      </c>
      <c r="B8" s="25">
        <f>COUNT(SLRData2!$A:$A)</f>
        <v>37</v>
      </c>
      <c r="C8" s="9"/>
      <c r="D8" s="9"/>
      <c r="E8" s="9"/>
      <c r="F8" s="9"/>
      <c r="G8" s="9"/>
      <c r="H8" s="9"/>
      <c r="I8" s="9"/>
      <c r="J8" s="9"/>
      <c r="K8" s="22" t="s">
        <v>53</v>
      </c>
      <c r="L8" s="26">
        <v>0.95</v>
      </c>
    </row>
    <row r="9" spans="1:15" ht="15" customHeight="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14" t="s">
        <v>54</v>
      </c>
      <c r="L9" s="27">
        <v>2.0301079282503438</v>
      </c>
    </row>
    <row r="10" spans="1:15" ht="15" customHeight="1" x14ac:dyDescent="0.2">
      <c r="J10" s="9"/>
      <c r="K10" s="22" t="s">
        <v>56</v>
      </c>
      <c r="L10" s="27">
        <v>24687.583706143556</v>
      </c>
    </row>
    <row r="11" spans="1:15" ht="15" customHeight="1" x14ac:dyDescent="0.2">
      <c r="K11" s="22" t="s">
        <v>62</v>
      </c>
      <c r="L11" s="27">
        <v>0.45873134657245884</v>
      </c>
    </row>
    <row r="12" spans="1:15" ht="15" customHeight="1" x14ac:dyDescent="0.2"/>
    <row r="13" spans="1:15" ht="15" customHeight="1" x14ac:dyDescent="0.2"/>
    <row r="14" spans="1:15" ht="15" customHeight="1" x14ac:dyDescent="0.2">
      <c r="F14" s="20"/>
      <c r="G14" s="20"/>
    </row>
    <row r="15" spans="1:15" ht="15" customHeight="1" x14ac:dyDescent="0.2">
      <c r="J15" s="9"/>
    </row>
    <row r="16" spans="1:15" ht="15" customHeight="1" x14ac:dyDescent="0.2">
      <c r="J16" s="32"/>
    </row>
    <row r="17" spans="10:10" ht="15" customHeight="1" x14ac:dyDescent="0.2">
      <c r="J17" s="34"/>
    </row>
    <row r="18" spans="10:10" ht="15" customHeight="1" x14ac:dyDescent="0.2">
      <c r="J18" s="34"/>
    </row>
    <row r="19" spans="10:10" x14ac:dyDescent="0.2">
      <c r="J19" s="9"/>
    </row>
    <row r="20" spans="10:10" x14ac:dyDescent="0.2">
      <c r="J20" s="9"/>
    </row>
    <row r="21" spans="10:10" x14ac:dyDescent="0.2">
      <c r="J21" s="9"/>
    </row>
    <row r="22" spans="10:10" x14ac:dyDescent="0.2">
      <c r="J22" s="9"/>
    </row>
    <row r="23" spans="10:10" x14ac:dyDescent="0.2">
      <c r="J23" s="9"/>
    </row>
    <row r="24" spans="10:10" x14ac:dyDescent="0.2">
      <c r="J24" s="9"/>
    </row>
    <row r="25" spans="10:10" x14ac:dyDescent="0.2">
      <c r="J25" s="9"/>
    </row>
    <row r="26" spans="10:10" x14ac:dyDescent="0.2">
      <c r="J26" s="9"/>
    </row>
    <row r="27" spans="10:10" x14ac:dyDescent="0.2">
      <c r="J27" s="9"/>
    </row>
    <row r="28" spans="10:10" x14ac:dyDescent="0.2">
      <c r="J28" s="9"/>
    </row>
    <row r="29" spans="10:10" x14ac:dyDescent="0.2">
      <c r="J29" s="9"/>
    </row>
    <row r="30" spans="10:10" x14ac:dyDescent="0.2">
      <c r="J30" s="9"/>
    </row>
    <row r="31" spans="10:10" x14ac:dyDescent="0.2">
      <c r="J31" s="9"/>
    </row>
    <row r="32" spans="10:10" x14ac:dyDescent="0.2">
      <c r="J32" s="9"/>
    </row>
    <row r="33" spans="10:10" x14ac:dyDescent="0.2">
      <c r="J33" s="9"/>
    </row>
    <row r="34" spans="10:10" x14ac:dyDescent="0.2">
      <c r="J34" s="9"/>
    </row>
    <row r="35" spans="10:10" x14ac:dyDescent="0.2">
      <c r="J35" s="9"/>
    </row>
    <row r="36" spans="10:10" x14ac:dyDescent="0.2">
      <c r="J36" s="32"/>
    </row>
    <row r="37" spans="10:10" x14ac:dyDescent="0.2">
      <c r="J37" s="34"/>
    </row>
    <row r="38" spans="10:10" x14ac:dyDescent="0.2">
      <c r="J38" s="34"/>
    </row>
  </sheetData>
  <mergeCells count="1">
    <mergeCell ref="K1:M1"/>
  </mergeCells>
  <pageMargins left="0.7" right="0.7" top="0.75" bottom="0.75" header="0.3" footer="0.3"/>
  <pageSetup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C4BD-5017-7543-B46F-0C1E421A434A}">
  <dimension ref="B1:C38"/>
  <sheetViews>
    <sheetView workbookViewId="0"/>
  </sheetViews>
  <sheetFormatPr baseColWidth="10" defaultRowHeight="13" x14ac:dyDescent="0.15"/>
  <sheetData>
    <row r="1" spans="2:3" x14ac:dyDescent="0.15">
      <c r="B1" t="s">
        <v>0</v>
      </c>
      <c r="C1" t="s">
        <v>39</v>
      </c>
    </row>
    <row r="2" spans="2:3" x14ac:dyDescent="0.15">
      <c r="B2">
        <v>63675</v>
      </c>
      <c r="C2">
        <v>153830</v>
      </c>
    </row>
    <row r="3" spans="2:3" x14ac:dyDescent="0.15">
      <c r="B3">
        <v>67516</v>
      </c>
      <c r="C3">
        <v>155058</v>
      </c>
    </row>
    <row r="4" spans="2:3" x14ac:dyDescent="0.15">
      <c r="B4">
        <v>66540</v>
      </c>
      <c r="C4">
        <v>147475</v>
      </c>
    </row>
    <row r="5" spans="2:3" x14ac:dyDescent="0.15">
      <c r="B5">
        <v>67938</v>
      </c>
      <c r="C5">
        <v>143565</v>
      </c>
    </row>
    <row r="6" spans="2:3" x14ac:dyDescent="0.15">
      <c r="B6">
        <v>66462</v>
      </c>
      <c r="C6">
        <v>141694</v>
      </c>
    </row>
    <row r="7" spans="2:3" x14ac:dyDescent="0.15">
      <c r="B7">
        <v>66540</v>
      </c>
      <c r="C7">
        <v>153553</v>
      </c>
    </row>
    <row r="8" spans="2:3" x14ac:dyDescent="0.15">
      <c r="B8">
        <v>66390</v>
      </c>
      <c r="C8">
        <v>148997</v>
      </c>
    </row>
    <row r="9" spans="2:3" x14ac:dyDescent="0.15">
      <c r="B9">
        <v>68792</v>
      </c>
      <c r="C9">
        <v>150229</v>
      </c>
    </row>
    <row r="10" spans="2:3" x14ac:dyDescent="0.15">
      <c r="B10">
        <v>64200</v>
      </c>
      <c r="C10">
        <v>135988</v>
      </c>
    </row>
    <row r="11" spans="2:3" x14ac:dyDescent="0.15">
      <c r="B11">
        <v>63200</v>
      </c>
      <c r="C11">
        <v>144799</v>
      </c>
    </row>
    <row r="12" spans="2:3" x14ac:dyDescent="0.15">
      <c r="B12">
        <v>66588</v>
      </c>
      <c r="C12">
        <v>145413</v>
      </c>
    </row>
    <row r="13" spans="2:3" x14ac:dyDescent="0.15">
      <c r="B13">
        <v>61584</v>
      </c>
      <c r="C13">
        <v>146252</v>
      </c>
    </row>
    <row r="14" spans="2:3" x14ac:dyDescent="0.15">
      <c r="B14">
        <v>61440</v>
      </c>
      <c r="C14">
        <v>140289</v>
      </c>
    </row>
    <row r="15" spans="2:3" x14ac:dyDescent="0.15">
      <c r="B15">
        <v>57000</v>
      </c>
      <c r="C15">
        <v>138864</v>
      </c>
    </row>
    <row r="16" spans="2:3" x14ac:dyDescent="0.15">
      <c r="B16">
        <v>55050</v>
      </c>
      <c r="C16">
        <v>124417</v>
      </c>
    </row>
    <row r="17" spans="2:3" x14ac:dyDescent="0.15">
      <c r="B17">
        <v>55400</v>
      </c>
      <c r="C17">
        <v>115830</v>
      </c>
    </row>
    <row r="18" spans="2:3" x14ac:dyDescent="0.15">
      <c r="B18">
        <v>55474</v>
      </c>
      <c r="C18">
        <v>126932</v>
      </c>
    </row>
    <row r="19" spans="2:3" x14ac:dyDescent="0.15">
      <c r="B19">
        <v>51900</v>
      </c>
      <c r="C19">
        <v>129587</v>
      </c>
    </row>
    <row r="20" spans="2:3" x14ac:dyDescent="0.15">
      <c r="B20">
        <v>53000</v>
      </c>
      <c r="C20">
        <v>131829</v>
      </c>
    </row>
    <row r="21" spans="2:3" x14ac:dyDescent="0.15">
      <c r="B21">
        <v>50326</v>
      </c>
      <c r="C21">
        <v>122791</v>
      </c>
    </row>
    <row r="22" spans="2:3" x14ac:dyDescent="0.15">
      <c r="B22">
        <v>46000</v>
      </c>
      <c r="C22">
        <v>113515</v>
      </c>
    </row>
    <row r="23" spans="2:3" x14ac:dyDescent="0.15">
      <c r="B23">
        <v>47340</v>
      </c>
      <c r="C23">
        <v>109267</v>
      </c>
    </row>
    <row r="24" spans="2:3" x14ac:dyDescent="0.15">
      <c r="B24">
        <v>49800</v>
      </c>
      <c r="C24">
        <v>111165</v>
      </c>
    </row>
    <row r="25" spans="2:3" x14ac:dyDescent="0.15">
      <c r="B25">
        <v>45976</v>
      </c>
      <c r="C25">
        <v>108347</v>
      </c>
    </row>
    <row r="26" spans="2:3" x14ac:dyDescent="0.15">
      <c r="B26">
        <v>37996</v>
      </c>
      <c r="C26">
        <v>80249</v>
      </c>
    </row>
    <row r="27" spans="2:3" x14ac:dyDescent="0.15">
      <c r="B27">
        <v>47800</v>
      </c>
      <c r="C27">
        <v>80249</v>
      </c>
    </row>
    <row r="28" spans="2:3" x14ac:dyDescent="0.15">
      <c r="B28">
        <v>46860</v>
      </c>
      <c r="C28">
        <v>101799</v>
      </c>
    </row>
    <row r="29" spans="2:3" x14ac:dyDescent="0.15">
      <c r="B29">
        <v>49959</v>
      </c>
      <c r="C29">
        <v>76455</v>
      </c>
    </row>
    <row r="30" spans="2:3" x14ac:dyDescent="0.15">
      <c r="B30">
        <v>38250</v>
      </c>
      <c r="C30">
        <v>86123</v>
      </c>
    </row>
    <row r="31" spans="2:3" x14ac:dyDescent="0.15">
      <c r="B31">
        <v>33328</v>
      </c>
      <c r="C31">
        <v>73646</v>
      </c>
    </row>
    <row r="32" spans="2:3" x14ac:dyDescent="0.15">
      <c r="B32">
        <v>43290</v>
      </c>
      <c r="C32">
        <v>75879</v>
      </c>
    </row>
    <row r="33" spans="2:3" x14ac:dyDescent="0.15">
      <c r="B33">
        <v>41804</v>
      </c>
      <c r="C33">
        <v>52190</v>
      </c>
    </row>
    <row r="34" spans="2:3" x14ac:dyDescent="0.15">
      <c r="B34">
        <v>49400</v>
      </c>
      <c r="C34">
        <v>64891</v>
      </c>
    </row>
    <row r="35" spans="2:3" x14ac:dyDescent="0.15">
      <c r="B35">
        <v>33996</v>
      </c>
      <c r="C35">
        <v>102156</v>
      </c>
    </row>
    <row r="36" spans="2:3" x14ac:dyDescent="0.15">
      <c r="B36">
        <v>23020</v>
      </c>
      <c r="C36">
        <v>55918</v>
      </c>
    </row>
    <row r="37" spans="2:3" x14ac:dyDescent="0.15">
      <c r="B37">
        <v>41490</v>
      </c>
      <c r="C37">
        <v>80000</v>
      </c>
    </row>
    <row r="38" spans="2:3" x14ac:dyDescent="0.15">
      <c r="B38">
        <v>39100</v>
      </c>
      <c r="C38">
        <v>53848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194D-AFF5-BB40-B8FD-890618FC7191}">
  <dimension ref="A1:E38"/>
  <sheetViews>
    <sheetView workbookViewId="0"/>
  </sheetViews>
  <sheetFormatPr baseColWidth="10" defaultRowHeight="13" x14ac:dyDescent="0.15"/>
  <cols>
    <col min="1" max="1" width="10.5" bestFit="1" customWidth="1"/>
    <col min="2" max="2" width="15.6640625" bestFit="1" customWidth="1"/>
    <col min="3" max="3" width="12.1640625" bestFit="1" customWidth="1"/>
    <col min="4" max="4" width="33.5" bestFit="1" customWidth="1"/>
    <col min="5" max="5" width="12.6640625" bestFit="1" customWidth="1"/>
  </cols>
  <sheetData>
    <row r="1" spans="1:5" x14ac:dyDescent="0.15">
      <c r="A1" t="s">
        <v>71</v>
      </c>
      <c r="B1" t="s">
        <v>0</v>
      </c>
      <c r="C1" t="s">
        <v>72</v>
      </c>
      <c r="D1" t="s">
        <v>39</v>
      </c>
      <c r="E1" t="s">
        <v>73</v>
      </c>
    </row>
    <row r="2" spans="1:5" x14ac:dyDescent="0.15">
      <c r="A2">
        <v>1</v>
      </c>
      <c r="B2">
        <v>63675</v>
      </c>
      <c r="C2">
        <f>COMPUTE!$B$18 * B2 + COMPUTE!$B$17</f>
        <v>141074.74911993495</v>
      </c>
      <c r="D2">
        <v>153830</v>
      </c>
      <c r="E2">
        <f>D2 - C2</f>
        <v>12755.250880065054</v>
      </c>
    </row>
    <row r="3" spans="1:5" x14ac:dyDescent="0.15">
      <c r="A3">
        <v>2</v>
      </c>
      <c r="B3">
        <v>67516</v>
      </c>
      <c r="C3">
        <f>COMPUTE!$B$18 * B3 + COMPUTE!$B$17</f>
        <v>150376.71964528365</v>
      </c>
      <c r="D3">
        <v>155058</v>
      </c>
      <c r="E3">
        <f t="shared" ref="E3:E38" si="0">D3 - C3</f>
        <v>4681.2803547163494</v>
      </c>
    </row>
    <row r="4" spans="1:5" x14ac:dyDescent="0.15">
      <c r="A4">
        <v>3</v>
      </c>
      <c r="B4">
        <v>66540</v>
      </c>
      <c r="C4">
        <f>COMPUTE!$B$18 * B4 + COMPUTE!$B$17</f>
        <v>148013.0843334533</v>
      </c>
      <c r="D4">
        <v>147475</v>
      </c>
      <c r="E4">
        <f t="shared" si="0"/>
        <v>-538.08433345329831</v>
      </c>
    </row>
    <row r="5" spans="1:5" x14ac:dyDescent="0.15">
      <c r="A5">
        <v>4</v>
      </c>
      <c r="B5">
        <v>67938</v>
      </c>
      <c r="C5">
        <f>COMPUTE!$B$18 * B5 + COMPUTE!$B$17</f>
        <v>151398.70130675129</v>
      </c>
      <c r="D5">
        <v>143565</v>
      </c>
      <c r="E5">
        <f t="shared" si="0"/>
        <v>-7833.7013067512889</v>
      </c>
    </row>
    <row r="6" spans="1:5" x14ac:dyDescent="0.15">
      <c r="A6">
        <v>5</v>
      </c>
      <c r="B6">
        <v>66462</v>
      </c>
      <c r="C6">
        <f>COMPUTE!$B$18 * B6 + COMPUTE!$B$17</f>
        <v>147824.18724910621</v>
      </c>
      <c r="D6">
        <v>141694</v>
      </c>
      <c r="E6">
        <f t="shared" si="0"/>
        <v>-6130.1872491062095</v>
      </c>
    </row>
    <row r="7" spans="1:5" x14ac:dyDescent="0.15">
      <c r="A7">
        <v>6</v>
      </c>
      <c r="B7">
        <v>66540</v>
      </c>
      <c r="C7">
        <f>COMPUTE!$B$18 * B7 + COMPUTE!$B$17</f>
        <v>148013.0843334533</v>
      </c>
      <c r="D7">
        <v>153553</v>
      </c>
      <c r="E7">
        <f t="shared" si="0"/>
        <v>5539.9156665467017</v>
      </c>
    </row>
    <row r="8" spans="1:5" x14ac:dyDescent="0.15">
      <c r="A8">
        <v>7</v>
      </c>
      <c r="B8">
        <v>66390</v>
      </c>
      <c r="C8">
        <f>COMPUTE!$B$18 * B8 + COMPUTE!$B$17</f>
        <v>147649.8207097089</v>
      </c>
      <c r="D8">
        <v>148997</v>
      </c>
      <c r="E8">
        <f t="shared" si="0"/>
        <v>1347.1792902910965</v>
      </c>
    </row>
    <row r="9" spans="1:5" x14ac:dyDescent="0.15">
      <c r="A9">
        <v>8</v>
      </c>
      <c r="B9">
        <v>68792</v>
      </c>
      <c r="C9">
        <f>COMPUTE!$B$18 * B9 + COMPUTE!$B$17</f>
        <v>153466.88220460282</v>
      </c>
      <c r="D9">
        <v>150229</v>
      </c>
      <c r="E9">
        <f t="shared" si="0"/>
        <v>-3237.8822046028217</v>
      </c>
    </row>
    <row r="10" spans="1:5" x14ac:dyDescent="0.15">
      <c r="A10">
        <v>9</v>
      </c>
      <c r="B10">
        <v>64200</v>
      </c>
      <c r="C10">
        <f>COMPUTE!$B$18 * B10 + COMPUTE!$B$17</f>
        <v>142346.1718030404</v>
      </c>
      <c r="D10">
        <v>135988</v>
      </c>
      <c r="E10">
        <f t="shared" si="0"/>
        <v>-6358.1718030404008</v>
      </c>
    </row>
    <row r="11" spans="1:5" x14ac:dyDescent="0.15">
      <c r="A11">
        <v>10</v>
      </c>
      <c r="B11">
        <v>63200</v>
      </c>
      <c r="C11">
        <f>COMPUTE!$B$18 * B11 + COMPUTE!$B$17</f>
        <v>139924.41431141095</v>
      </c>
      <c r="D11">
        <v>144799</v>
      </c>
      <c r="E11">
        <f t="shared" si="0"/>
        <v>4874.5856885890535</v>
      </c>
    </row>
    <row r="12" spans="1:5" x14ac:dyDescent="0.15">
      <c r="A12">
        <v>11</v>
      </c>
      <c r="B12">
        <v>66588</v>
      </c>
      <c r="C12">
        <f>COMPUTE!$B$18 * B12 + COMPUTE!$B$17</f>
        <v>148129.32869305153</v>
      </c>
      <c r="D12">
        <v>145413</v>
      </c>
      <c r="E12">
        <f t="shared" si="0"/>
        <v>-2716.3286930515314</v>
      </c>
    </row>
    <row r="13" spans="1:5" x14ac:dyDescent="0.15">
      <c r="A13">
        <v>12</v>
      </c>
      <c r="B13">
        <v>61584</v>
      </c>
      <c r="C13">
        <f>COMPUTE!$B$18 * B13 + COMPUTE!$B$17</f>
        <v>136010.85420493776</v>
      </c>
      <c r="D13">
        <v>146252</v>
      </c>
      <c r="E13">
        <f t="shared" si="0"/>
        <v>10241.145795062243</v>
      </c>
    </row>
    <row r="14" spans="1:5" x14ac:dyDescent="0.15">
      <c r="A14">
        <v>13</v>
      </c>
      <c r="B14">
        <v>61440</v>
      </c>
      <c r="C14">
        <f>COMPUTE!$B$18 * B14 + COMPUTE!$B$17</f>
        <v>135662.12112614312</v>
      </c>
      <c r="D14">
        <v>140289</v>
      </c>
      <c r="E14">
        <f t="shared" si="0"/>
        <v>4626.8788738568837</v>
      </c>
    </row>
    <row r="15" spans="1:5" x14ac:dyDescent="0.15">
      <c r="A15">
        <v>14</v>
      </c>
      <c r="B15">
        <v>57000</v>
      </c>
      <c r="C15">
        <f>COMPUTE!$B$18 * B15 + COMPUTE!$B$17</f>
        <v>124909.51786330834</v>
      </c>
      <c r="D15">
        <v>138864</v>
      </c>
      <c r="E15">
        <f t="shared" si="0"/>
        <v>13954.482136691659</v>
      </c>
    </row>
    <row r="16" spans="1:5" x14ac:dyDescent="0.15">
      <c r="A16">
        <v>15</v>
      </c>
      <c r="B16">
        <v>55050</v>
      </c>
      <c r="C16">
        <f>COMPUTE!$B$18 * B16 + COMPUTE!$B$17</f>
        <v>120187.09075463092</v>
      </c>
      <c r="D16">
        <v>124417</v>
      </c>
      <c r="E16">
        <f t="shared" si="0"/>
        <v>4229.9092453690828</v>
      </c>
    </row>
    <row r="17" spans="1:5" x14ac:dyDescent="0.15">
      <c r="A17">
        <v>16</v>
      </c>
      <c r="B17">
        <v>55400</v>
      </c>
      <c r="C17">
        <f>COMPUTE!$B$18 * B17 + COMPUTE!$B$17</f>
        <v>121034.70587670122</v>
      </c>
      <c r="D17">
        <v>115830</v>
      </c>
      <c r="E17">
        <f t="shared" si="0"/>
        <v>-5204.7058767012204</v>
      </c>
    </row>
    <row r="18" spans="1:5" x14ac:dyDescent="0.15">
      <c r="A18">
        <v>17</v>
      </c>
      <c r="B18">
        <v>55474</v>
      </c>
      <c r="C18">
        <f>COMPUTE!$B$18 * B18 + COMPUTE!$B$17</f>
        <v>121213.91593108181</v>
      </c>
      <c r="D18">
        <v>126932</v>
      </c>
      <c r="E18">
        <f t="shared" si="0"/>
        <v>5718.0840689181932</v>
      </c>
    </row>
    <row r="19" spans="1:5" x14ac:dyDescent="0.15">
      <c r="A19">
        <v>18</v>
      </c>
      <c r="B19">
        <v>51900</v>
      </c>
      <c r="C19">
        <f>COMPUTE!$B$18 * B19 + COMPUTE!$B$17</f>
        <v>112558.55465599814</v>
      </c>
      <c r="D19">
        <v>129587</v>
      </c>
      <c r="E19">
        <f t="shared" si="0"/>
        <v>17028.445344001855</v>
      </c>
    </row>
    <row r="20" spans="1:5" x14ac:dyDescent="0.15">
      <c r="A20">
        <v>19</v>
      </c>
      <c r="B20">
        <v>53000</v>
      </c>
      <c r="C20">
        <f>COMPUTE!$B$18 * B20 + COMPUTE!$B$17</f>
        <v>115222.48789679054</v>
      </c>
      <c r="D20">
        <v>131829</v>
      </c>
      <c r="E20">
        <f t="shared" si="0"/>
        <v>16606.512103209461</v>
      </c>
    </row>
    <row r="21" spans="1:5" x14ac:dyDescent="0.15">
      <c r="A21">
        <v>20</v>
      </c>
      <c r="B21">
        <v>50326</v>
      </c>
      <c r="C21">
        <f>COMPUTE!$B$18 * B21 + COMPUTE!$B$17</f>
        <v>108746.70836417339</v>
      </c>
      <c r="D21">
        <v>122791</v>
      </c>
      <c r="E21">
        <f t="shared" si="0"/>
        <v>14044.291635826608</v>
      </c>
    </row>
    <row r="22" spans="1:5" x14ac:dyDescent="0.15">
      <c r="A22">
        <v>21</v>
      </c>
      <c r="B22">
        <v>46000</v>
      </c>
      <c r="C22">
        <f>COMPUTE!$B$18 * B22 + COMPUTE!$B$17</f>
        <v>98270.185455384388</v>
      </c>
      <c r="D22">
        <v>113515</v>
      </c>
      <c r="E22">
        <f t="shared" si="0"/>
        <v>15244.814544615612</v>
      </c>
    </row>
    <row r="23" spans="1:5" x14ac:dyDescent="0.15">
      <c r="A23">
        <v>22</v>
      </c>
      <c r="B23">
        <v>47340</v>
      </c>
      <c r="C23">
        <f>COMPUTE!$B$18 * B23 + COMPUTE!$B$17</f>
        <v>101515.34049416785</v>
      </c>
      <c r="D23">
        <v>109267</v>
      </c>
      <c r="E23">
        <f t="shared" si="0"/>
        <v>7751.6595058321545</v>
      </c>
    </row>
    <row r="24" spans="1:5" x14ac:dyDescent="0.15">
      <c r="A24">
        <v>23</v>
      </c>
      <c r="B24">
        <v>49800</v>
      </c>
      <c r="C24">
        <f>COMPUTE!$B$18 * B24 + COMPUTE!$B$17</f>
        <v>107472.8639235763</v>
      </c>
      <c r="D24">
        <v>111165</v>
      </c>
      <c r="E24">
        <f t="shared" si="0"/>
        <v>3692.1360764237033</v>
      </c>
    </row>
    <row r="25" spans="1:5" x14ac:dyDescent="0.15">
      <c r="A25">
        <v>24</v>
      </c>
      <c r="B25">
        <v>45976</v>
      </c>
      <c r="C25">
        <f>COMPUTE!$B$18 * B25 + COMPUTE!$B$17</f>
        <v>98212.063275585271</v>
      </c>
      <c r="D25">
        <v>108347</v>
      </c>
      <c r="E25">
        <f t="shared" si="0"/>
        <v>10134.936724414729</v>
      </c>
    </row>
    <row r="26" spans="1:5" x14ac:dyDescent="0.15">
      <c r="A26">
        <v>25</v>
      </c>
      <c r="B26">
        <v>37996</v>
      </c>
      <c r="C26">
        <f>COMPUTE!$B$18 * B26 + COMPUTE!$B$17</f>
        <v>78886.438492382251</v>
      </c>
      <c r="D26">
        <v>80249</v>
      </c>
      <c r="E26">
        <f t="shared" si="0"/>
        <v>1362.5615076177492</v>
      </c>
    </row>
    <row r="27" spans="1:5" x14ac:dyDescent="0.15">
      <c r="A27">
        <v>26</v>
      </c>
      <c r="B27">
        <v>47800</v>
      </c>
      <c r="C27">
        <f>COMPUTE!$B$18 * B27 + COMPUTE!$B$17</f>
        <v>102629.34894031739</v>
      </c>
      <c r="D27">
        <v>80249</v>
      </c>
      <c r="E27">
        <f t="shared" si="0"/>
        <v>-22380.348940317388</v>
      </c>
    </row>
    <row r="28" spans="1:5" x14ac:dyDescent="0.15">
      <c r="A28">
        <v>27</v>
      </c>
      <c r="B28">
        <v>46860</v>
      </c>
      <c r="C28">
        <f>COMPUTE!$B$18 * B28 + COMPUTE!$B$17</f>
        <v>100352.8968981857</v>
      </c>
      <c r="D28">
        <v>101799</v>
      </c>
      <c r="E28">
        <f t="shared" si="0"/>
        <v>1446.1031018142967</v>
      </c>
    </row>
    <row r="29" spans="1:5" x14ac:dyDescent="0.15">
      <c r="A29">
        <v>28</v>
      </c>
      <c r="B29">
        <v>49959</v>
      </c>
      <c r="C29">
        <f>COMPUTE!$B$18 * B29 + COMPUTE!$B$17</f>
        <v>107857.92336474538</v>
      </c>
      <c r="D29">
        <v>76455</v>
      </c>
      <c r="E29">
        <f t="shared" si="0"/>
        <v>-31402.92336474538</v>
      </c>
    </row>
    <row r="30" spans="1:5" x14ac:dyDescent="0.15">
      <c r="A30">
        <v>29</v>
      </c>
      <c r="B30">
        <v>38250</v>
      </c>
      <c r="C30">
        <f>COMPUTE!$B$18 * B30 + COMPUTE!$B$17</f>
        <v>79501.564895256131</v>
      </c>
      <c r="D30">
        <v>86123</v>
      </c>
      <c r="E30">
        <f t="shared" si="0"/>
        <v>6621.4351047438686</v>
      </c>
    </row>
    <row r="31" spans="1:5" x14ac:dyDescent="0.15">
      <c r="A31">
        <v>30</v>
      </c>
      <c r="B31">
        <v>33328</v>
      </c>
      <c r="C31">
        <f>COMPUTE!$B$18 * B31 + COMPUTE!$B$17</f>
        <v>67581.674521455978</v>
      </c>
      <c r="D31">
        <v>73646</v>
      </c>
      <c r="E31">
        <f t="shared" si="0"/>
        <v>6064.3254785440222</v>
      </c>
    </row>
    <row r="32" spans="1:5" x14ac:dyDescent="0.15">
      <c r="A32">
        <v>31</v>
      </c>
      <c r="B32">
        <v>43290</v>
      </c>
      <c r="C32">
        <f>COMPUTE!$B$18 * B32 + COMPUTE!$B$17</f>
        <v>91707.222653068573</v>
      </c>
      <c r="D32">
        <v>75879</v>
      </c>
      <c r="E32">
        <f t="shared" si="0"/>
        <v>-15828.222653068573</v>
      </c>
    </row>
    <row r="33" spans="1:5" x14ac:dyDescent="0.15">
      <c r="A33">
        <v>32</v>
      </c>
      <c r="B33">
        <v>41804</v>
      </c>
      <c r="C33">
        <f>COMPUTE!$B$18 * B33 + COMPUTE!$B$17</f>
        <v>88108.491020507208</v>
      </c>
      <c r="D33">
        <v>52190</v>
      </c>
      <c r="E33">
        <f t="shared" si="0"/>
        <v>-35918.491020507208</v>
      </c>
    </row>
    <row r="34" spans="1:5" x14ac:dyDescent="0.15">
      <c r="A34">
        <v>33</v>
      </c>
      <c r="B34">
        <v>49400</v>
      </c>
      <c r="C34">
        <f>COMPUTE!$B$18 * B34 + COMPUTE!$B$17</f>
        <v>106504.16092692451</v>
      </c>
      <c r="D34">
        <v>64891</v>
      </c>
      <c r="E34">
        <f t="shared" si="0"/>
        <v>-41613.160926924509</v>
      </c>
    </row>
    <row r="35" spans="1:5" x14ac:dyDescent="0.15">
      <c r="A35">
        <v>34</v>
      </c>
      <c r="B35">
        <v>33996</v>
      </c>
      <c r="C35">
        <f>COMPUTE!$B$18 * B35 + COMPUTE!$B$17</f>
        <v>69199.408525864448</v>
      </c>
      <c r="D35">
        <v>102156</v>
      </c>
      <c r="E35">
        <f t="shared" si="0"/>
        <v>32956.591474135552</v>
      </c>
    </row>
    <row r="36" spans="1:5" x14ac:dyDescent="0.15">
      <c r="A36">
        <v>35</v>
      </c>
      <c r="B36">
        <v>23020</v>
      </c>
      <c r="C36">
        <f>COMPUTE!$B$18 * B36 + COMPUTE!$B$17</f>
        <v>42618.198297739589</v>
      </c>
      <c r="D36">
        <v>55918</v>
      </c>
      <c r="E36">
        <f t="shared" si="0"/>
        <v>13299.801702260411</v>
      </c>
    </row>
    <row r="37" spans="1:5" x14ac:dyDescent="0.15">
      <c r="A37">
        <v>36</v>
      </c>
      <c r="B37">
        <v>41490</v>
      </c>
      <c r="C37">
        <f>COMPUTE!$B$18 * B37 + COMPUTE!$B$17</f>
        <v>87348.059168135558</v>
      </c>
      <c r="D37">
        <v>80000</v>
      </c>
      <c r="E37">
        <f t="shared" si="0"/>
        <v>-7348.0591681355581</v>
      </c>
    </row>
    <row r="38" spans="1:5" x14ac:dyDescent="0.15">
      <c r="A38">
        <v>37</v>
      </c>
      <c r="B38">
        <v>39100</v>
      </c>
      <c r="C38">
        <f>COMPUTE!$B$18 * B38 + COMPUTE!$B$17</f>
        <v>81560.058763141162</v>
      </c>
      <c r="D38">
        <v>53848</v>
      </c>
      <c r="E38">
        <f t="shared" si="0"/>
        <v>-27712.058763141162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E5CC-124F-CD4D-94DD-AF8D6DF3FC70}">
  <dimension ref="A1:B38"/>
  <sheetViews>
    <sheetView workbookViewId="0"/>
  </sheetViews>
  <sheetFormatPr baseColWidth="10" defaultRowHeight="13" x14ac:dyDescent="0.15"/>
  <sheetData>
    <row r="1" spans="1:2" x14ac:dyDescent="0.15">
      <c r="A1" t="s">
        <v>0</v>
      </c>
      <c r="B1" t="s">
        <v>39</v>
      </c>
    </row>
    <row r="2" spans="1:2" x14ac:dyDescent="0.15">
      <c r="A2">
        <v>63675</v>
      </c>
      <c r="B2">
        <v>153830</v>
      </c>
    </row>
    <row r="3" spans="1:2" x14ac:dyDescent="0.15">
      <c r="A3">
        <v>67516</v>
      </c>
      <c r="B3">
        <v>155058</v>
      </c>
    </row>
    <row r="4" spans="1:2" x14ac:dyDescent="0.15">
      <c r="A4">
        <v>66540</v>
      </c>
      <c r="B4">
        <v>147475</v>
      </c>
    </row>
    <row r="5" spans="1:2" x14ac:dyDescent="0.15">
      <c r="A5">
        <v>67938</v>
      </c>
      <c r="B5">
        <v>143565</v>
      </c>
    </row>
    <row r="6" spans="1:2" x14ac:dyDescent="0.15">
      <c r="A6">
        <v>66462</v>
      </c>
      <c r="B6">
        <v>141694</v>
      </c>
    </row>
    <row r="7" spans="1:2" x14ac:dyDescent="0.15">
      <c r="A7">
        <v>66540</v>
      </c>
      <c r="B7">
        <v>153553</v>
      </c>
    </row>
    <row r="8" spans="1:2" x14ac:dyDescent="0.15">
      <c r="A8">
        <v>66390</v>
      </c>
      <c r="B8">
        <v>148997</v>
      </c>
    </row>
    <row r="9" spans="1:2" x14ac:dyDescent="0.15">
      <c r="A9">
        <v>68792</v>
      </c>
      <c r="B9">
        <v>150229</v>
      </c>
    </row>
    <row r="10" spans="1:2" x14ac:dyDescent="0.15">
      <c r="A10">
        <v>64200</v>
      </c>
      <c r="B10">
        <v>135988</v>
      </c>
    </row>
    <row r="11" spans="1:2" x14ac:dyDescent="0.15">
      <c r="A11">
        <v>63200</v>
      </c>
      <c r="B11">
        <v>144799</v>
      </c>
    </row>
    <row r="12" spans="1:2" x14ac:dyDescent="0.15">
      <c r="A12">
        <v>66588</v>
      </c>
      <c r="B12">
        <v>145413</v>
      </c>
    </row>
    <row r="13" spans="1:2" x14ac:dyDescent="0.15">
      <c r="A13">
        <v>61584</v>
      </c>
      <c r="B13">
        <v>146252</v>
      </c>
    </row>
    <row r="14" spans="1:2" x14ac:dyDescent="0.15">
      <c r="A14">
        <v>61440</v>
      </c>
      <c r="B14">
        <v>140289</v>
      </c>
    </row>
    <row r="15" spans="1:2" x14ac:dyDescent="0.15">
      <c r="A15">
        <v>57000</v>
      </c>
      <c r="B15">
        <v>138864</v>
      </c>
    </row>
    <row r="16" spans="1:2" x14ac:dyDescent="0.15">
      <c r="A16">
        <v>55050</v>
      </c>
      <c r="B16">
        <v>124417</v>
      </c>
    </row>
    <row r="17" spans="1:2" x14ac:dyDescent="0.15">
      <c r="A17">
        <v>55400</v>
      </c>
      <c r="B17">
        <v>115830</v>
      </c>
    </row>
    <row r="18" spans="1:2" x14ac:dyDescent="0.15">
      <c r="A18">
        <v>55474</v>
      </c>
      <c r="B18">
        <v>126932</v>
      </c>
    </row>
    <row r="19" spans="1:2" x14ac:dyDescent="0.15">
      <c r="A19">
        <v>51900</v>
      </c>
      <c r="B19">
        <v>129587</v>
      </c>
    </row>
    <row r="20" spans="1:2" x14ac:dyDescent="0.15">
      <c r="A20">
        <v>53000</v>
      </c>
      <c r="B20">
        <v>131829</v>
      </c>
    </row>
    <row r="21" spans="1:2" x14ac:dyDescent="0.15">
      <c r="A21">
        <v>50326</v>
      </c>
      <c r="B21">
        <v>122791</v>
      </c>
    </row>
    <row r="22" spans="1:2" x14ac:dyDescent="0.15">
      <c r="A22">
        <v>46000</v>
      </c>
      <c r="B22">
        <v>113515</v>
      </c>
    </row>
    <row r="23" spans="1:2" x14ac:dyDescent="0.15">
      <c r="A23">
        <v>47340</v>
      </c>
      <c r="B23">
        <v>109267</v>
      </c>
    </row>
    <row r="24" spans="1:2" x14ac:dyDescent="0.15">
      <c r="A24">
        <v>49800</v>
      </c>
      <c r="B24">
        <v>111165</v>
      </c>
    </row>
    <row r="25" spans="1:2" x14ac:dyDescent="0.15">
      <c r="A25">
        <v>45976</v>
      </c>
      <c r="B25">
        <v>108347</v>
      </c>
    </row>
    <row r="26" spans="1:2" x14ac:dyDescent="0.15">
      <c r="A26">
        <v>37996</v>
      </c>
      <c r="B26">
        <v>80249</v>
      </c>
    </row>
    <row r="27" spans="1:2" x14ac:dyDescent="0.15">
      <c r="A27">
        <v>47800</v>
      </c>
      <c r="B27">
        <v>80249</v>
      </c>
    </row>
    <row r="28" spans="1:2" x14ac:dyDescent="0.15">
      <c r="A28">
        <v>46860</v>
      </c>
      <c r="B28">
        <v>101799</v>
      </c>
    </row>
    <row r="29" spans="1:2" x14ac:dyDescent="0.15">
      <c r="A29">
        <v>49959</v>
      </c>
      <c r="B29">
        <v>76455</v>
      </c>
    </row>
    <row r="30" spans="1:2" x14ac:dyDescent="0.15">
      <c r="A30">
        <v>38250</v>
      </c>
      <c r="B30">
        <v>86123</v>
      </c>
    </row>
    <row r="31" spans="1:2" x14ac:dyDescent="0.15">
      <c r="A31">
        <v>33328</v>
      </c>
      <c r="B31">
        <v>73646</v>
      </c>
    </row>
    <row r="32" spans="1:2" x14ac:dyDescent="0.15">
      <c r="A32">
        <v>43290</v>
      </c>
      <c r="B32">
        <v>75879</v>
      </c>
    </row>
    <row r="33" spans="1:2" x14ac:dyDescent="0.15">
      <c r="A33">
        <v>41804</v>
      </c>
      <c r="B33">
        <v>52190</v>
      </c>
    </row>
    <row r="34" spans="1:2" x14ac:dyDescent="0.15">
      <c r="A34">
        <v>49400</v>
      </c>
      <c r="B34">
        <v>64891</v>
      </c>
    </row>
    <row r="35" spans="1:2" x14ac:dyDescent="0.15">
      <c r="A35">
        <v>33996</v>
      </c>
      <c r="B35">
        <v>102156</v>
      </c>
    </row>
    <row r="36" spans="1:2" x14ac:dyDescent="0.15">
      <c r="A36">
        <v>23020</v>
      </c>
      <c r="B36">
        <v>55918</v>
      </c>
    </row>
    <row r="37" spans="1:2" x14ac:dyDescent="0.15">
      <c r="A37">
        <v>41490</v>
      </c>
      <c r="B37">
        <v>80000</v>
      </c>
    </row>
    <row r="38" spans="1:2" x14ac:dyDescent="0.15">
      <c r="A38">
        <v>39100</v>
      </c>
      <c r="B38">
        <v>53848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6C15-3A2C-2D4F-A9F9-2093EB126242}">
  <sheetPr codeName="Sheet12"/>
  <dimension ref="A1:O38"/>
  <sheetViews>
    <sheetView workbookViewId="0">
      <selection activeCell="K31" sqref="K31"/>
    </sheetView>
  </sheetViews>
  <sheetFormatPr baseColWidth="10" defaultColWidth="9.1640625" defaultRowHeight="15" x14ac:dyDescent="0.2"/>
  <cols>
    <col min="1" max="1" width="14.6640625" style="13" bestFit="1" customWidth="1"/>
    <col min="2" max="2" width="11.1640625" style="13" bestFit="1" customWidth="1"/>
    <col min="3" max="4" width="16.83203125" style="13" bestFit="1" customWidth="1"/>
    <col min="5" max="5" width="8.6640625" style="13" bestFit="1" customWidth="1"/>
    <col min="6" max="6" width="12.33203125" style="13" bestFit="1" customWidth="1"/>
    <col min="7" max="7" width="10.6640625" style="13" bestFit="1" customWidth="1"/>
    <col min="8" max="8" width="12.6640625" style="13" bestFit="1" customWidth="1"/>
    <col min="9" max="9" width="12.5" style="13" bestFit="1" customWidth="1"/>
    <col min="10" max="10" width="2.83203125" style="13" customWidth="1"/>
    <col min="11" max="11" width="25.5" style="13" customWidth="1"/>
    <col min="12" max="12" width="12.5" style="13" customWidth="1"/>
    <col min="13" max="14" width="9.1640625" style="13"/>
    <col min="15" max="15" width="22.6640625" style="13" customWidth="1"/>
    <col min="16" max="16384" width="9.1640625" style="13"/>
  </cols>
  <sheetData>
    <row r="1" spans="1:15" ht="15" customHeight="1" thickBot="1" x14ac:dyDescent="0.25">
      <c r="A1" s="9" t="s">
        <v>70</v>
      </c>
      <c r="B1" s="9"/>
      <c r="C1" s="9"/>
      <c r="D1" s="9"/>
      <c r="E1" s="9"/>
      <c r="F1" s="9"/>
      <c r="G1" s="9"/>
      <c r="H1" s="9"/>
      <c r="I1" s="9"/>
      <c r="J1" s="9"/>
      <c r="K1" s="10" t="s">
        <v>41</v>
      </c>
      <c r="L1" s="11"/>
      <c r="M1" s="11"/>
      <c r="N1" s="12"/>
    </row>
    <row r="2" spans="1:15" ht="15" customHeight="1" thickBo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14" t="s">
        <v>42</v>
      </c>
      <c r="L2" s="15">
        <f t="array" ref="L2:M6">LINEST(SLRData!$B$2:$B$38, SLRData!$A$2:$A$38,TRUE,TRUE)</f>
        <v>2.4217574916294513</v>
      </c>
      <c r="M2" s="16">
        <v>-13130.659159570379</v>
      </c>
      <c r="N2" s="9"/>
    </row>
    <row r="3" spans="1:15" ht="15" customHeight="1" x14ac:dyDescent="0.2">
      <c r="A3" s="17" t="s">
        <v>43</v>
      </c>
      <c r="B3" s="17"/>
      <c r="C3" s="9"/>
      <c r="D3" s="9"/>
      <c r="E3" s="9"/>
      <c r="F3" s="9"/>
      <c r="G3" s="9"/>
      <c r="H3" s="9"/>
      <c r="I3" s="9"/>
      <c r="J3" s="9"/>
      <c r="K3" s="14" t="s">
        <v>44</v>
      </c>
      <c r="L3" s="18">
        <v>0.22596401904987298</v>
      </c>
      <c r="M3" s="19">
        <v>12160.724739113079</v>
      </c>
      <c r="N3" s="9"/>
    </row>
    <row r="4" spans="1:15" ht="15" customHeight="1" x14ac:dyDescent="0.2">
      <c r="A4" s="13" t="s">
        <v>45</v>
      </c>
      <c r="B4" s="20">
        <f>SQRT(C12/C14)</f>
        <v>0.87547382542169438</v>
      </c>
      <c r="C4" s="9"/>
      <c r="D4" s="9"/>
      <c r="E4" s="9"/>
      <c r="F4" s="21"/>
      <c r="G4" s="9"/>
      <c r="H4" s="9"/>
      <c r="I4" s="9"/>
      <c r="J4" s="9"/>
      <c r="K4" s="22" t="s">
        <v>46</v>
      </c>
      <c r="L4" s="18">
        <v>0.76645441899849542</v>
      </c>
      <c r="M4" s="19">
        <v>15944.380695393125</v>
      </c>
      <c r="N4" s="9"/>
      <c r="O4" s="12"/>
    </row>
    <row r="5" spans="1:15" ht="15" customHeight="1" x14ac:dyDescent="0.2">
      <c r="A5" s="13" t="s">
        <v>47</v>
      </c>
      <c r="B5" s="20">
        <f>L4</f>
        <v>0.76645441899849542</v>
      </c>
      <c r="C5" s="9"/>
      <c r="D5" s="9"/>
      <c r="E5" s="9"/>
      <c r="F5" s="21"/>
      <c r="G5" s="9"/>
      <c r="H5" s="9"/>
      <c r="I5" s="9"/>
      <c r="J5" s="9"/>
      <c r="K5" s="14" t="s">
        <v>48</v>
      </c>
      <c r="L5" s="18">
        <v>114.86367907245705</v>
      </c>
      <c r="M5" s="19">
        <v>35</v>
      </c>
      <c r="N5" s="9"/>
    </row>
    <row r="6" spans="1:15" ht="15" customHeight="1" thickBot="1" x14ac:dyDescent="0.25">
      <c r="A6" s="13" t="s">
        <v>49</v>
      </c>
      <c r="B6" s="20">
        <f>1-(B14/B13)*(C13/C14)</f>
        <v>0.75978168811273816</v>
      </c>
      <c r="C6" s="9"/>
      <c r="D6" s="9"/>
      <c r="E6" s="9"/>
      <c r="F6" s="9"/>
      <c r="G6" s="9"/>
      <c r="H6" s="9"/>
      <c r="I6" s="9"/>
      <c r="J6" s="9"/>
      <c r="K6" s="22" t="s">
        <v>50</v>
      </c>
      <c r="L6" s="23">
        <v>29201020759.60231</v>
      </c>
      <c r="M6" s="24">
        <v>8897814651.586874</v>
      </c>
      <c r="N6" s="9"/>
    </row>
    <row r="7" spans="1:15" ht="15" customHeight="1" x14ac:dyDescent="0.2">
      <c r="A7" s="13" t="s">
        <v>51</v>
      </c>
      <c r="B7" s="20">
        <f>M4</f>
        <v>15944.380695393125</v>
      </c>
      <c r="C7" s="9"/>
      <c r="D7" s="9"/>
      <c r="E7" s="9"/>
      <c r="F7" s="9"/>
      <c r="G7" s="9"/>
      <c r="H7" s="9"/>
      <c r="I7" s="9"/>
      <c r="J7" s="9"/>
    </row>
    <row r="8" spans="1:15" ht="15" customHeight="1" thickBot="1" x14ac:dyDescent="0.25">
      <c r="A8" s="25" t="s">
        <v>52</v>
      </c>
      <c r="B8" s="25">
        <f>COUNT(SLRData!$A:$A)</f>
        <v>37</v>
      </c>
      <c r="C8" s="9"/>
      <c r="D8" s="9"/>
      <c r="E8" s="9"/>
      <c r="F8" s="9"/>
      <c r="G8" s="9"/>
      <c r="H8" s="9"/>
      <c r="I8" s="9"/>
      <c r="J8" s="9"/>
      <c r="K8" s="22" t="s">
        <v>53</v>
      </c>
      <c r="L8" s="26">
        <v>0.95</v>
      </c>
    </row>
    <row r="9" spans="1:15" ht="15" customHeight="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14" t="s">
        <v>54</v>
      </c>
      <c r="L9" s="27">
        <f>_xlfn.T.INV.2T(1-L8,B13)</f>
        <v>2.0301079282503438</v>
      </c>
    </row>
    <row r="10" spans="1:15" ht="15" customHeight="1" thickBot="1" x14ac:dyDescent="0.25">
      <c r="A10" s="9" t="s">
        <v>55</v>
      </c>
      <c r="B10" s="9"/>
      <c r="C10" s="9"/>
      <c r="D10" s="9"/>
      <c r="E10" s="9"/>
      <c r="F10" s="9"/>
      <c r="G10" s="9"/>
      <c r="H10" s="9"/>
      <c r="I10" s="9"/>
      <c r="J10" s="9"/>
      <c r="K10" s="22" t="s">
        <v>56</v>
      </c>
      <c r="L10" s="27">
        <f>L9*C17</f>
        <v>24687.583706143556</v>
      </c>
    </row>
    <row r="11" spans="1:15" ht="15" customHeight="1" x14ac:dyDescent="0.2">
      <c r="A11" s="28"/>
      <c r="B11" s="28" t="s">
        <v>57</v>
      </c>
      <c r="C11" s="28" t="s">
        <v>58</v>
      </c>
      <c r="D11" s="28" t="s">
        <v>59</v>
      </c>
      <c r="E11" s="28" t="s">
        <v>60</v>
      </c>
      <c r="F11" s="28" t="s">
        <v>61</v>
      </c>
      <c r="K11" s="22" t="s">
        <v>62</v>
      </c>
      <c r="L11" s="27">
        <f>L9*C18</f>
        <v>0.45873134657245884</v>
      </c>
    </row>
    <row r="12" spans="1:15" ht="15" customHeight="1" x14ac:dyDescent="0.2">
      <c r="A12" s="13" t="s">
        <v>63</v>
      </c>
      <c r="B12" s="13">
        <v>1</v>
      </c>
      <c r="C12" s="20">
        <f>L6</f>
        <v>29201020759.60231</v>
      </c>
      <c r="D12" s="20">
        <f>L6</f>
        <v>29201020759.60231</v>
      </c>
      <c r="E12" s="20">
        <f>L5</f>
        <v>114.86367907245705</v>
      </c>
      <c r="F12" s="20">
        <f>_xlfn.F.DIST.RT(E12,B12,B13)</f>
        <v>1.3413906626581244E-12</v>
      </c>
    </row>
    <row r="13" spans="1:15" ht="15" customHeight="1" x14ac:dyDescent="0.2">
      <c r="A13" s="13" t="s">
        <v>64</v>
      </c>
      <c r="B13" s="13">
        <f>M5</f>
        <v>35</v>
      </c>
      <c r="C13" s="20">
        <f>M6</f>
        <v>8897814651.586874</v>
      </c>
      <c r="D13" s="20">
        <f>C13/B13</f>
        <v>254223275.75962496</v>
      </c>
      <c r="E13" s="20"/>
      <c r="F13" s="20"/>
    </row>
    <row r="14" spans="1:15" ht="15" customHeight="1" thickBot="1" x14ac:dyDescent="0.25">
      <c r="A14" s="25" t="s">
        <v>65</v>
      </c>
      <c r="B14" s="29">
        <f>B12+B13</f>
        <v>36</v>
      </c>
      <c r="C14" s="30">
        <f>C12+C13</f>
        <v>38098835411.189186</v>
      </c>
      <c r="D14" s="25"/>
      <c r="E14" s="25"/>
      <c r="F14" s="25"/>
    </row>
    <row r="15" spans="1:15" ht="15" customHeight="1" thickBo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5" ht="15" customHeight="1" x14ac:dyDescent="0.2">
      <c r="A16" s="31"/>
      <c r="B16" s="31" t="s">
        <v>66</v>
      </c>
      <c r="C16" s="31" t="s">
        <v>51</v>
      </c>
      <c r="D16" s="31" t="s">
        <v>67</v>
      </c>
      <c r="E16" s="31" t="s">
        <v>68</v>
      </c>
      <c r="F16" s="31" t="str">
        <f>"Lower " &amp; L8*100 &amp; "%"</f>
        <v>Lower 95%</v>
      </c>
      <c r="G16" s="31" t="str">
        <f>"Upper " &amp; L8*100 &amp; "%"</f>
        <v>Upper 95%</v>
      </c>
      <c r="H16" s="31" t="str">
        <f t="shared" ref="H16:I18" si="0">F16</f>
        <v>Lower 95%</v>
      </c>
      <c r="I16" s="31" t="str">
        <f t="shared" si="0"/>
        <v>Upper 95%</v>
      </c>
      <c r="J16" s="32"/>
    </row>
    <row r="17" spans="1:11" ht="15" customHeight="1" x14ac:dyDescent="0.2">
      <c r="A17" s="22" t="s">
        <v>69</v>
      </c>
      <c r="B17" s="27">
        <f>M2</f>
        <v>-13130.659159570379</v>
      </c>
      <c r="C17" s="27">
        <f>M3</f>
        <v>12160.724739113079</v>
      </c>
      <c r="D17" s="27">
        <f>B17/C17</f>
        <v>-1.0797595900956181</v>
      </c>
      <c r="E17" s="27">
        <f>_xlfn.T.DIST.2T(ABS(D17), B13)</f>
        <v>0.28763405127709685</v>
      </c>
      <c r="F17" s="27">
        <f>B17-L10</f>
        <v>-37818.242865713939</v>
      </c>
      <c r="G17" s="27">
        <f>B17+L10</f>
        <v>11556.924546573176</v>
      </c>
      <c r="H17" s="27">
        <f t="shared" si="0"/>
        <v>-37818.242865713939</v>
      </c>
      <c r="I17" s="33">
        <f t="shared" si="0"/>
        <v>11556.924546573176</v>
      </c>
      <c r="J17" s="34"/>
    </row>
    <row r="18" spans="1:11" ht="15" customHeight="1" thickBot="1" x14ac:dyDescent="0.25">
      <c r="A18" s="35" t="str">
        <f>SLRData!$A$1</f>
        <v>Tuition per year ($)</v>
      </c>
      <c r="B18" s="36">
        <f>L2</f>
        <v>2.4217574916294513</v>
      </c>
      <c r="C18" s="36">
        <f>L3</f>
        <v>0.22596401904987298</v>
      </c>
      <c r="D18" s="36">
        <f>B18/C18</f>
        <v>10.717447414028072</v>
      </c>
      <c r="E18" s="36">
        <f>_xlfn.T.DIST.2T(ABS(D18), B13)</f>
        <v>1.3413906626581339E-12</v>
      </c>
      <c r="F18" s="36">
        <f>B18-L11</f>
        <v>1.9630261450569924</v>
      </c>
      <c r="G18" s="36">
        <f>B18+L11</f>
        <v>2.8804888382019103</v>
      </c>
      <c r="H18" s="36">
        <f t="shared" si="0"/>
        <v>1.9630261450569924</v>
      </c>
      <c r="I18" s="37">
        <f t="shared" si="0"/>
        <v>2.8804888382019103</v>
      </c>
      <c r="J18" s="34"/>
    </row>
    <row r="19" spans="1:11" x14ac:dyDescent="0.2">
      <c r="J19" s="9"/>
    </row>
    <row r="20" spans="1:11" x14ac:dyDescent="0.2">
      <c r="J20" s="9"/>
    </row>
    <row r="21" spans="1:11" x14ac:dyDescent="0.2">
      <c r="J21" s="9"/>
    </row>
    <row r="22" spans="1:11" x14ac:dyDescent="0.2">
      <c r="J22" s="9"/>
    </row>
    <row r="23" spans="1:11" x14ac:dyDescent="0.2">
      <c r="F23" s="20"/>
      <c r="G23" s="20"/>
      <c r="J23" s="9"/>
    </row>
    <row r="24" spans="1:11" x14ac:dyDescent="0.2">
      <c r="J24" s="9"/>
    </row>
    <row r="25" spans="1:11" x14ac:dyDescent="0.2">
      <c r="J25" s="9"/>
    </row>
    <row r="26" spans="1:11" x14ac:dyDescent="0.2">
      <c r="J26" s="9"/>
    </row>
    <row r="27" spans="1:11" x14ac:dyDescent="0.2">
      <c r="J27" s="9"/>
    </row>
    <row r="28" spans="1:11" x14ac:dyDescent="0.2">
      <c r="J28" s="9"/>
    </row>
    <row r="29" spans="1:11" x14ac:dyDescent="0.2">
      <c r="J29" s="9"/>
    </row>
    <row r="30" spans="1:11" x14ac:dyDescent="0.2">
      <c r="J30" s="9"/>
    </row>
    <row r="31" spans="1:11" x14ac:dyDescent="0.2">
      <c r="J31" s="9"/>
      <c r="K31" s="13">
        <v>3</v>
      </c>
    </row>
    <row r="32" spans="1:11" x14ac:dyDescent="0.2">
      <c r="J32" s="9"/>
    </row>
    <row r="33" spans="10:10" x14ac:dyDescent="0.2">
      <c r="J33" s="9"/>
    </row>
    <row r="34" spans="10:10" x14ac:dyDescent="0.2">
      <c r="J34" s="9"/>
    </row>
    <row r="35" spans="10:10" x14ac:dyDescent="0.2">
      <c r="J35" s="9"/>
    </row>
    <row r="36" spans="10:10" x14ac:dyDescent="0.2">
      <c r="J36" s="32"/>
    </row>
    <row r="37" spans="10:10" x14ac:dyDescent="0.2">
      <c r="J37" s="34"/>
    </row>
    <row r="38" spans="10:10" x14ac:dyDescent="0.2">
      <c r="J38" s="34"/>
    </row>
  </sheetData>
  <mergeCells count="1">
    <mergeCell ref="K1:M1"/>
  </mergeCells>
  <pageMargins left="0.7" right="0.7" top="0.75" bottom="0.75" header="0.3" footer="0.3"/>
  <pageSetup orientation="portrait" horizontalDpi="0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8"/>
  <sheetViews>
    <sheetView workbookViewId="0">
      <selection activeCell="J14" sqref="J14"/>
    </sheetView>
  </sheetViews>
  <sheetFormatPr baseColWidth="10" defaultColWidth="9.1640625" defaultRowHeight="15" x14ac:dyDescent="0.2"/>
  <cols>
    <col min="1" max="1" width="6.83203125" style="1" bestFit="1" customWidth="1"/>
    <col min="2" max="2" width="10.83203125" style="1" customWidth="1"/>
    <col min="3" max="3" width="12.1640625" style="1" customWidth="1"/>
    <col min="4" max="4" width="11" style="1" customWidth="1"/>
    <col min="5" max="5" width="19.6640625" style="1" customWidth="1"/>
    <col min="6" max="6" width="20.1640625" style="1" customWidth="1"/>
    <col min="7" max="16384" width="9.1640625" style="1"/>
  </cols>
  <sheetData>
    <row r="1" spans="1:6" s="3" customFormat="1" ht="30" customHeight="1" x14ac:dyDescent="0.2">
      <c r="A1" s="4" t="s">
        <v>38</v>
      </c>
      <c r="B1" s="4" t="s">
        <v>0</v>
      </c>
      <c r="C1" s="4" t="s">
        <v>1</v>
      </c>
      <c r="D1" s="4" t="s">
        <v>2</v>
      </c>
      <c r="E1" s="4" t="s">
        <v>40</v>
      </c>
      <c r="F1" s="4" t="s">
        <v>39</v>
      </c>
    </row>
    <row r="2" spans="1:6" x14ac:dyDescent="0.2">
      <c r="A2">
        <v>1</v>
      </c>
      <c r="B2" s="5">
        <v>63675</v>
      </c>
      <c r="C2" s="7" t="s">
        <v>3</v>
      </c>
      <c r="D2" s="8">
        <v>10.7</v>
      </c>
      <c r="E2" s="2">
        <v>79.3</v>
      </c>
      <c r="F2" s="6">
        <v>153830</v>
      </c>
    </row>
    <row r="3" spans="1:6" x14ac:dyDescent="0.2">
      <c r="A3">
        <v>2</v>
      </c>
      <c r="B3" s="5">
        <v>67516</v>
      </c>
      <c r="C3" s="7" t="s">
        <v>4</v>
      </c>
      <c r="D3" s="2">
        <v>19.600000000000001</v>
      </c>
      <c r="E3" s="2">
        <v>85.8</v>
      </c>
      <c r="F3" s="6">
        <v>155058</v>
      </c>
    </row>
    <row r="4" spans="1:6" x14ac:dyDescent="0.2">
      <c r="A4">
        <v>3</v>
      </c>
      <c r="B4" s="5">
        <v>66540</v>
      </c>
      <c r="C4" s="7" t="s">
        <v>5</v>
      </c>
      <c r="D4" s="2">
        <v>23.6</v>
      </c>
      <c r="E4" s="2">
        <v>84.9</v>
      </c>
      <c r="F4" s="6">
        <v>147475</v>
      </c>
    </row>
    <row r="5" spans="1:6" x14ac:dyDescent="0.2">
      <c r="A5">
        <v>4</v>
      </c>
      <c r="B5" s="5">
        <v>67938</v>
      </c>
      <c r="C5" s="7" t="s">
        <v>6</v>
      </c>
      <c r="D5" s="2">
        <v>11.7</v>
      </c>
      <c r="E5" s="2">
        <v>81.2</v>
      </c>
      <c r="F5" s="6">
        <v>143565</v>
      </c>
    </row>
    <row r="6" spans="1:6" x14ac:dyDescent="0.2">
      <c r="A6">
        <v>5</v>
      </c>
      <c r="B6" s="5">
        <v>66462</v>
      </c>
      <c r="C6" s="7" t="s">
        <v>7</v>
      </c>
      <c r="D6" s="2">
        <v>20.100000000000001</v>
      </c>
      <c r="E6" s="2">
        <v>82.8</v>
      </c>
      <c r="F6" s="6">
        <v>141694</v>
      </c>
    </row>
    <row r="7" spans="1:6" x14ac:dyDescent="0.2">
      <c r="A7">
        <v>6</v>
      </c>
      <c r="B7" s="5">
        <v>66540</v>
      </c>
      <c r="C7" s="7" t="s">
        <v>8</v>
      </c>
      <c r="D7" s="2">
        <v>6</v>
      </c>
      <c r="E7" s="2">
        <v>62.8</v>
      </c>
      <c r="F7" s="6">
        <v>153553</v>
      </c>
    </row>
    <row r="8" spans="1:6" x14ac:dyDescent="0.2">
      <c r="A8">
        <v>7</v>
      </c>
      <c r="B8" s="5">
        <v>66390</v>
      </c>
      <c r="C8" s="7" t="s">
        <v>9</v>
      </c>
      <c r="D8" s="2">
        <v>22.4</v>
      </c>
      <c r="E8" s="2">
        <v>86.8</v>
      </c>
      <c r="F8" s="6">
        <v>148997</v>
      </c>
    </row>
    <row r="9" spans="1:6" x14ac:dyDescent="0.2">
      <c r="A9">
        <v>8</v>
      </c>
      <c r="B9" s="5">
        <v>68792</v>
      </c>
      <c r="C9" s="7" t="s">
        <v>10</v>
      </c>
      <c r="D9" s="2">
        <v>14.1</v>
      </c>
      <c r="E9" s="2">
        <v>77.3</v>
      </c>
      <c r="F9" s="6">
        <v>150229</v>
      </c>
    </row>
    <row r="10" spans="1:6" x14ac:dyDescent="0.2">
      <c r="A10">
        <v>9</v>
      </c>
      <c r="B10" s="5">
        <v>64200</v>
      </c>
      <c r="C10" s="7" t="s">
        <v>11</v>
      </c>
      <c r="D10" s="2">
        <v>19</v>
      </c>
      <c r="E10" s="2">
        <v>76</v>
      </c>
      <c r="F10" s="6">
        <v>135988</v>
      </c>
    </row>
    <row r="11" spans="1:6" x14ac:dyDescent="0.2">
      <c r="A11">
        <v>10</v>
      </c>
      <c r="B11" s="5">
        <v>63200</v>
      </c>
      <c r="C11" s="7" t="s">
        <v>12</v>
      </c>
      <c r="D11" s="2">
        <v>22.1</v>
      </c>
      <c r="E11" s="2">
        <v>83.1</v>
      </c>
      <c r="F11" s="6">
        <v>144799</v>
      </c>
    </row>
    <row r="12" spans="1:6" x14ac:dyDescent="0.2">
      <c r="A12">
        <v>11</v>
      </c>
      <c r="B12" s="5">
        <v>66588</v>
      </c>
      <c r="C12" s="7" t="s">
        <v>13</v>
      </c>
      <c r="D12" s="2">
        <v>23.1</v>
      </c>
      <c r="E12" s="2">
        <v>82.1</v>
      </c>
      <c r="F12" s="6">
        <v>145413</v>
      </c>
    </row>
    <row r="13" spans="1:6" x14ac:dyDescent="0.2">
      <c r="A13">
        <v>12</v>
      </c>
      <c r="B13" s="5">
        <v>61584</v>
      </c>
      <c r="C13" s="7" t="s">
        <v>14</v>
      </c>
      <c r="D13" s="2">
        <v>27.6</v>
      </c>
      <c r="E13" s="2">
        <v>79.8</v>
      </c>
      <c r="F13" s="6">
        <v>146252</v>
      </c>
    </row>
    <row r="14" spans="1:6" x14ac:dyDescent="0.2">
      <c r="A14">
        <v>13</v>
      </c>
      <c r="B14" s="5">
        <v>61440</v>
      </c>
      <c r="C14" s="7" t="s">
        <v>15</v>
      </c>
      <c r="D14" s="2">
        <v>30.3</v>
      </c>
      <c r="E14" s="2">
        <v>76</v>
      </c>
      <c r="F14" s="6">
        <v>140289</v>
      </c>
    </row>
    <row r="15" spans="1:6" x14ac:dyDescent="0.2">
      <c r="A15">
        <v>14</v>
      </c>
      <c r="B15" s="5">
        <v>57000</v>
      </c>
      <c r="C15" s="7" t="s">
        <v>16</v>
      </c>
      <c r="D15" s="2">
        <v>33.1</v>
      </c>
      <c r="E15" s="2">
        <v>84</v>
      </c>
      <c r="F15" s="6">
        <v>138864</v>
      </c>
    </row>
    <row r="16" spans="1:6" x14ac:dyDescent="0.2">
      <c r="A16">
        <v>15</v>
      </c>
      <c r="B16" s="5">
        <v>55050</v>
      </c>
      <c r="C16" s="7" t="s">
        <v>17</v>
      </c>
      <c r="D16" s="2">
        <v>44.6</v>
      </c>
      <c r="E16" s="2">
        <v>69.099999999999994</v>
      </c>
      <c r="F16" s="6">
        <v>124417</v>
      </c>
    </row>
    <row r="17" spans="1:6" x14ac:dyDescent="0.2">
      <c r="A17">
        <v>16</v>
      </c>
      <c r="B17" s="5">
        <v>55400</v>
      </c>
      <c r="C17" s="7" t="s">
        <v>18</v>
      </c>
      <c r="D17" s="8">
        <v>29.7</v>
      </c>
      <c r="E17" s="2">
        <v>78.5</v>
      </c>
      <c r="F17" s="6">
        <v>115830</v>
      </c>
    </row>
    <row r="18" spans="1:6" x14ac:dyDescent="0.2">
      <c r="A18">
        <v>17</v>
      </c>
      <c r="B18" s="5">
        <v>55474</v>
      </c>
      <c r="C18" s="7" t="s">
        <v>17</v>
      </c>
      <c r="D18" s="2">
        <v>33.299999999999997</v>
      </c>
      <c r="E18" s="2">
        <v>75.2</v>
      </c>
      <c r="F18" s="6">
        <v>126932</v>
      </c>
    </row>
    <row r="19" spans="1:6" x14ac:dyDescent="0.2">
      <c r="A19">
        <v>18</v>
      </c>
      <c r="B19" s="5">
        <v>51900</v>
      </c>
      <c r="C19" s="7" t="s">
        <v>19</v>
      </c>
      <c r="D19" s="2">
        <v>45.5</v>
      </c>
      <c r="E19" s="2">
        <v>80.3</v>
      </c>
      <c r="F19" s="6">
        <v>129587</v>
      </c>
    </row>
    <row r="20" spans="1:6" x14ac:dyDescent="0.2">
      <c r="A20">
        <v>19</v>
      </c>
      <c r="B20" s="5">
        <v>53000</v>
      </c>
      <c r="C20" s="7" t="s">
        <v>20</v>
      </c>
      <c r="D20" s="2">
        <v>26.6</v>
      </c>
      <c r="E20" s="2">
        <v>75.2</v>
      </c>
      <c r="F20" s="6">
        <v>131829</v>
      </c>
    </row>
    <row r="21" spans="1:6" x14ac:dyDescent="0.2">
      <c r="A21">
        <v>20</v>
      </c>
      <c r="B21" s="5">
        <v>50326</v>
      </c>
      <c r="C21" s="7" t="s">
        <v>16</v>
      </c>
      <c r="D21" s="2">
        <v>41</v>
      </c>
      <c r="E21" s="2">
        <v>75.7</v>
      </c>
      <c r="F21" s="6">
        <v>122791</v>
      </c>
    </row>
    <row r="22" spans="1:6" x14ac:dyDescent="0.2">
      <c r="A22">
        <v>21</v>
      </c>
      <c r="B22" s="5">
        <v>46000</v>
      </c>
      <c r="C22" s="7" t="s">
        <v>21</v>
      </c>
      <c r="D22" s="2">
        <v>33.6</v>
      </c>
      <c r="E22" s="2">
        <v>78.599999999999994</v>
      </c>
      <c r="F22" s="6">
        <v>113515</v>
      </c>
    </row>
    <row r="23" spans="1:6" x14ac:dyDescent="0.2">
      <c r="A23">
        <v>22</v>
      </c>
      <c r="B23" s="6">
        <v>47340</v>
      </c>
      <c r="C23" s="7" t="s">
        <v>22</v>
      </c>
      <c r="D23" s="2">
        <v>38.200000000000003</v>
      </c>
      <c r="E23" s="2">
        <v>75.3</v>
      </c>
      <c r="F23" s="6">
        <v>109267</v>
      </c>
    </row>
    <row r="24" spans="1:6" x14ac:dyDescent="0.2">
      <c r="A24">
        <v>23</v>
      </c>
      <c r="B24" s="5">
        <v>49800</v>
      </c>
      <c r="C24" s="7" t="s">
        <v>23</v>
      </c>
      <c r="D24" s="2">
        <v>37.1</v>
      </c>
      <c r="E24" s="2">
        <v>65.7</v>
      </c>
      <c r="F24" s="6">
        <v>111165</v>
      </c>
    </row>
    <row r="25" spans="1:6" x14ac:dyDescent="0.2">
      <c r="A25">
        <v>24</v>
      </c>
      <c r="B25" s="5">
        <v>45976</v>
      </c>
      <c r="C25" s="7" t="s">
        <v>24</v>
      </c>
      <c r="D25" s="2">
        <v>38.6</v>
      </c>
      <c r="E25" s="2">
        <v>60.7</v>
      </c>
      <c r="F25" s="6">
        <v>108347</v>
      </c>
    </row>
    <row r="26" spans="1:6" x14ac:dyDescent="0.2">
      <c r="A26">
        <v>25</v>
      </c>
      <c r="B26" s="5">
        <v>37996</v>
      </c>
      <c r="C26" s="7" t="s">
        <v>25</v>
      </c>
      <c r="D26" s="2">
        <v>40</v>
      </c>
      <c r="E26" s="2">
        <v>63.6</v>
      </c>
      <c r="F26" s="6">
        <v>80249</v>
      </c>
    </row>
    <row r="27" spans="1:6" x14ac:dyDescent="0.2">
      <c r="A27">
        <v>26</v>
      </c>
      <c r="B27" s="5">
        <v>47800</v>
      </c>
      <c r="C27" s="7" t="s">
        <v>26</v>
      </c>
      <c r="D27" s="2">
        <v>55.3</v>
      </c>
      <c r="E27" s="2">
        <v>56.5</v>
      </c>
      <c r="F27" s="6">
        <v>80249</v>
      </c>
    </row>
    <row r="28" spans="1:6" x14ac:dyDescent="0.2">
      <c r="A28">
        <v>27</v>
      </c>
      <c r="B28" s="5">
        <v>46860</v>
      </c>
      <c r="C28" s="7" t="s">
        <v>27</v>
      </c>
      <c r="D28" s="2">
        <v>54.9</v>
      </c>
      <c r="E28" s="2">
        <v>68.400000000000006</v>
      </c>
      <c r="F28" s="6">
        <v>101799</v>
      </c>
    </row>
    <row r="29" spans="1:6" x14ac:dyDescent="0.2">
      <c r="A29">
        <v>28</v>
      </c>
      <c r="B29" s="5">
        <v>49959</v>
      </c>
      <c r="C29" s="7" t="s">
        <v>28</v>
      </c>
      <c r="D29" s="2">
        <v>63.1</v>
      </c>
      <c r="E29" s="2">
        <v>53.6</v>
      </c>
      <c r="F29" s="6">
        <v>76455</v>
      </c>
    </row>
    <row r="30" spans="1:6" x14ac:dyDescent="0.2">
      <c r="A30">
        <v>29</v>
      </c>
      <c r="B30" s="5">
        <v>38250</v>
      </c>
      <c r="C30" s="7" t="s">
        <v>29</v>
      </c>
      <c r="D30" s="2">
        <v>64.3</v>
      </c>
      <c r="E30" s="2">
        <v>60</v>
      </c>
      <c r="F30" s="6">
        <v>86123</v>
      </c>
    </row>
    <row r="31" spans="1:6" x14ac:dyDescent="0.2">
      <c r="A31">
        <v>30</v>
      </c>
      <c r="B31" s="5">
        <v>33328</v>
      </c>
      <c r="C31" s="7" t="s">
        <v>30</v>
      </c>
      <c r="D31" s="2">
        <v>58.5</v>
      </c>
      <c r="E31" s="2">
        <v>94.9</v>
      </c>
      <c r="F31" s="6">
        <v>73646</v>
      </c>
    </row>
    <row r="32" spans="1:6" x14ac:dyDescent="0.2">
      <c r="A32">
        <v>31</v>
      </c>
      <c r="B32" s="5">
        <v>43290</v>
      </c>
      <c r="C32" s="7" t="s">
        <v>31</v>
      </c>
      <c r="D32" s="2">
        <v>55.7</v>
      </c>
      <c r="E32" s="2">
        <v>18.899999999999999</v>
      </c>
      <c r="F32" s="6">
        <v>75879</v>
      </c>
    </row>
    <row r="33" spans="1:6" x14ac:dyDescent="0.2">
      <c r="A33">
        <v>32</v>
      </c>
      <c r="B33" s="5">
        <v>41804</v>
      </c>
      <c r="C33" s="7" t="s">
        <v>32</v>
      </c>
      <c r="D33" s="2">
        <v>52</v>
      </c>
      <c r="E33" s="2">
        <v>63.6</v>
      </c>
      <c r="F33" s="6">
        <v>52190</v>
      </c>
    </row>
    <row r="34" spans="1:6" x14ac:dyDescent="0.2">
      <c r="A34">
        <v>33</v>
      </c>
      <c r="B34" s="5">
        <v>49400</v>
      </c>
      <c r="C34" s="7" t="s">
        <v>33</v>
      </c>
      <c r="D34" s="2">
        <v>82.9</v>
      </c>
      <c r="E34" s="2">
        <v>26.7</v>
      </c>
      <c r="F34" s="6">
        <v>64891</v>
      </c>
    </row>
    <row r="35" spans="1:6" x14ac:dyDescent="0.2">
      <c r="A35">
        <v>34</v>
      </c>
      <c r="B35" s="5">
        <v>33996</v>
      </c>
      <c r="C35" s="7" t="s">
        <v>34</v>
      </c>
      <c r="D35" s="2">
        <v>33.700000000000003</v>
      </c>
      <c r="E35" s="2">
        <v>54.2</v>
      </c>
      <c r="F35" s="6">
        <v>102156</v>
      </c>
    </row>
    <row r="36" spans="1:6" x14ac:dyDescent="0.2">
      <c r="A36">
        <v>35</v>
      </c>
      <c r="B36" s="5">
        <v>23020</v>
      </c>
      <c r="C36" s="7" t="s">
        <v>35</v>
      </c>
      <c r="D36" s="2">
        <v>90.2</v>
      </c>
      <c r="E36" s="2">
        <v>61.8</v>
      </c>
      <c r="F36" s="6">
        <v>55918</v>
      </c>
    </row>
    <row r="37" spans="1:6" x14ac:dyDescent="0.2">
      <c r="A37">
        <v>36</v>
      </c>
      <c r="B37" s="5">
        <v>41490</v>
      </c>
      <c r="C37" s="7" t="s">
        <v>36</v>
      </c>
      <c r="D37" s="2">
        <v>59.3</v>
      </c>
      <c r="E37" s="8">
        <v>35.700000000000003</v>
      </c>
      <c r="F37" s="6">
        <v>80000</v>
      </c>
    </row>
    <row r="38" spans="1:6" x14ac:dyDescent="0.2">
      <c r="A38">
        <v>37</v>
      </c>
      <c r="B38" s="5">
        <v>39100</v>
      </c>
      <c r="C38" s="7" t="s">
        <v>37</v>
      </c>
      <c r="D38" s="8">
        <v>94.5</v>
      </c>
      <c r="E38" s="2">
        <v>42.6</v>
      </c>
      <c r="F38" s="6">
        <v>53848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1</vt:i4>
      </vt:variant>
    </vt:vector>
  </HeadingPairs>
  <TitlesOfParts>
    <vt:vector size="9" baseType="lpstr">
      <vt:lpstr>CIEandPI</vt:lpstr>
      <vt:lpstr>SLRData2</vt:lpstr>
      <vt:lpstr>COMPUTE2</vt:lpstr>
      <vt:lpstr>PlotData</vt:lpstr>
      <vt:lpstr>Residuals</vt:lpstr>
      <vt:lpstr>SLRData</vt:lpstr>
      <vt:lpstr>COMPUTE</vt:lpstr>
      <vt:lpstr>DATA</vt:lpstr>
      <vt:lpstr>Scatter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2013-11-25T06:01:22Z</dcterms:created>
  <dcterms:modified xsi:type="dcterms:W3CDTF">2026-04-28T06:44:31Z</dcterms:modified>
</cp:coreProperties>
</file>